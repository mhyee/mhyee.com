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20" yWindow="45" windowWidth="11475" windowHeight="51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10" i="1"/>
  <c r="H26"/>
  <c r="H42"/>
  <c r="H58"/>
  <c r="H80"/>
  <c r="H9"/>
  <c r="H25"/>
  <c r="H41"/>
  <c r="H57"/>
  <c r="H73"/>
  <c r="H89"/>
  <c r="H74"/>
  <c r="B100"/>
  <c r="G100"/>
  <c r="G102"/>
  <c r="B17"/>
  <c r="B21"/>
  <c r="B25"/>
  <c r="D28"/>
  <c r="D32"/>
  <c r="D36"/>
  <c r="D40"/>
  <c r="I15"/>
  <c r="I17"/>
  <c r="I19"/>
  <c r="I21"/>
  <c r="I23"/>
  <c r="I25"/>
  <c r="I27"/>
  <c r="I29"/>
  <c r="I31"/>
  <c r="I33"/>
  <c r="H28"/>
  <c r="H60"/>
  <c r="H11"/>
  <c r="H43"/>
  <c r="H75"/>
  <c r="H78"/>
  <c r="I100"/>
  <c r="D17"/>
  <c r="D25"/>
  <c r="B33"/>
  <c r="C14"/>
  <c r="C18"/>
  <c r="C22"/>
  <c r="C26"/>
  <c r="C30"/>
  <c r="C34"/>
  <c r="C36"/>
  <c r="C38"/>
  <c r="C40"/>
  <c r="C42"/>
  <c r="C44"/>
  <c r="B42"/>
  <c r="I46"/>
  <c r="I48"/>
  <c r="I50"/>
  <c r="I52"/>
  <c r="I54"/>
  <c r="H6"/>
  <c r="H22"/>
  <c r="H38"/>
  <c r="H54"/>
  <c r="H72"/>
  <c r="H5"/>
  <c r="H21"/>
  <c r="H37"/>
  <c r="H53"/>
  <c r="H69"/>
  <c r="H85"/>
  <c r="H101"/>
  <c r="H98"/>
  <c r="C100"/>
  <c r="C102"/>
  <c r="B16"/>
  <c r="B20"/>
  <c r="B24"/>
  <c r="D27"/>
  <c r="D31"/>
  <c r="D35"/>
  <c r="D39"/>
  <c r="E15"/>
  <c r="E17"/>
  <c r="E19"/>
  <c r="E21"/>
  <c r="E23"/>
  <c r="E25"/>
  <c r="E27"/>
  <c r="E29"/>
  <c r="E31"/>
  <c r="E33"/>
  <c r="H20"/>
  <c r="H52"/>
  <c r="H100"/>
  <c r="H35"/>
  <c r="H67"/>
  <c r="H99"/>
  <c r="D102"/>
  <c r="D15"/>
  <c r="D23"/>
  <c r="B31"/>
  <c r="B39"/>
  <c r="C17"/>
  <c r="C21"/>
  <c r="C25"/>
  <c r="C29"/>
  <c r="C33"/>
  <c r="G35"/>
  <c r="G37"/>
  <c r="G39"/>
  <c r="G41"/>
  <c r="G43"/>
  <c r="G45"/>
  <c r="E46"/>
  <c r="E48"/>
  <c r="E50"/>
  <c r="E52"/>
  <c r="E54"/>
  <c r="E56"/>
  <c r="E58"/>
  <c r="E60"/>
  <c r="E62"/>
  <c r="E64"/>
  <c r="I58"/>
  <c r="I62"/>
  <c r="I65"/>
  <c r="I67"/>
  <c r="I69"/>
  <c r="I71"/>
  <c r="I73"/>
  <c r="D45"/>
  <c r="D49"/>
  <c r="D53"/>
  <c r="D57"/>
  <c r="D61"/>
  <c r="D65"/>
  <c r="D69"/>
  <c r="D73"/>
  <c r="D77"/>
  <c r="D81"/>
  <c r="E77"/>
  <c r="E81"/>
  <c r="C84"/>
  <c r="C86"/>
  <c r="C88"/>
  <c r="G91"/>
  <c r="E95"/>
  <c r="E99"/>
  <c r="C78"/>
  <c r="C82"/>
  <c r="B86"/>
  <c r="B90"/>
  <c r="B94"/>
  <c r="B98"/>
  <c r="I90"/>
  <c r="I94"/>
  <c r="I98"/>
  <c r="H40"/>
  <c r="H23"/>
  <c r="H87"/>
  <c r="E102"/>
  <c r="B28"/>
  <c r="G15"/>
  <c r="G23"/>
  <c r="G31"/>
  <c r="I36"/>
  <c r="I40"/>
  <c r="I44"/>
  <c r="G47"/>
  <c r="G51"/>
  <c r="G55"/>
  <c r="G59"/>
  <c r="G63"/>
  <c r="G67"/>
  <c r="G71"/>
  <c r="D44"/>
  <c r="B53"/>
  <c r="B61"/>
  <c r="B69"/>
  <c r="B77"/>
  <c r="I76"/>
  <c r="I83"/>
  <c r="I87"/>
  <c r="C95"/>
  <c r="G77"/>
  <c r="D85"/>
  <c r="I57"/>
  <c r="I61"/>
  <c r="E65"/>
  <c r="E67"/>
  <c r="E69"/>
  <c r="E71"/>
  <c r="E73"/>
  <c r="D43"/>
  <c r="D48"/>
  <c r="D52"/>
  <c r="D56"/>
  <c r="D60"/>
  <c r="D64"/>
  <c r="D68"/>
  <c r="D72"/>
  <c r="D76"/>
  <c r="D80"/>
  <c r="E76"/>
  <c r="E80"/>
  <c r="G83"/>
  <c r="G85"/>
  <c r="G87"/>
  <c r="G90"/>
  <c r="G94"/>
  <c r="G98"/>
  <c r="C77"/>
  <c r="C81"/>
  <c r="B85"/>
  <c r="B89"/>
  <c r="B93"/>
  <c r="B97"/>
  <c r="I89"/>
  <c r="C94"/>
  <c r="I97"/>
  <c r="H24"/>
  <c r="H7"/>
  <c r="H71"/>
  <c r="E100"/>
  <c r="D24"/>
  <c r="B40"/>
  <c r="G21"/>
  <c r="G29"/>
  <c r="I35"/>
  <c r="I39"/>
  <c r="I43"/>
  <c r="G46"/>
  <c r="G50"/>
  <c r="G54"/>
  <c r="G58"/>
  <c r="G62"/>
  <c r="G66"/>
  <c r="G70"/>
  <c r="G74"/>
  <c r="B51"/>
  <c r="B59"/>
  <c r="B67"/>
  <c r="B75"/>
  <c r="I74"/>
  <c r="I82"/>
  <c r="I86"/>
  <c r="C93"/>
  <c r="G75"/>
  <c r="D83"/>
  <c r="D91"/>
  <c r="D99"/>
  <c r="E96"/>
  <c r="I13"/>
  <c r="G7"/>
  <c r="G12"/>
  <c r="E9"/>
  <c r="H102"/>
  <c r="H18"/>
  <c r="H34"/>
  <c r="H50"/>
  <c r="H66"/>
  <c r="H96"/>
  <c r="H17"/>
  <c r="H33"/>
  <c r="H49"/>
  <c r="H65"/>
  <c r="H81"/>
  <c r="H97"/>
  <c r="H90"/>
  <c r="B102"/>
  <c r="G101"/>
  <c r="B15"/>
  <c r="B19"/>
  <c r="B23"/>
  <c r="D26"/>
  <c r="D30"/>
  <c r="D34"/>
  <c r="D38"/>
  <c r="I14"/>
  <c r="I16"/>
  <c r="I18"/>
  <c r="I20"/>
  <c r="I22"/>
  <c r="I24"/>
  <c r="I26"/>
  <c r="I28"/>
  <c r="I30"/>
  <c r="I32"/>
  <c r="H12"/>
  <c r="H44"/>
  <c r="H84"/>
  <c r="H27"/>
  <c r="H59"/>
  <c r="H91"/>
  <c r="D100"/>
  <c r="I102"/>
  <c r="D21"/>
  <c r="B29"/>
  <c r="B37"/>
  <c r="C16"/>
  <c r="C20"/>
  <c r="C24"/>
  <c r="C28"/>
  <c r="C32"/>
  <c r="C35"/>
  <c r="C37"/>
  <c r="C39"/>
  <c r="C41"/>
  <c r="C43"/>
  <c r="C45"/>
  <c r="I45"/>
  <c r="I47"/>
  <c r="I49"/>
  <c r="I51"/>
  <c r="I53"/>
  <c r="I55"/>
  <c r="H14"/>
  <c r="H30"/>
  <c r="H46"/>
  <c r="H62"/>
  <c r="H88"/>
  <c r="H13"/>
  <c r="H29"/>
  <c r="H45"/>
  <c r="H61"/>
  <c r="H77"/>
  <c r="H93"/>
  <c r="H82"/>
  <c r="B101"/>
  <c r="C101"/>
  <c r="B14"/>
  <c r="B18"/>
  <c r="B22"/>
  <c r="F25"/>
  <c r="D29"/>
  <c r="D33"/>
  <c r="D37"/>
  <c r="E14"/>
  <c r="E16"/>
  <c r="E18"/>
  <c r="E20"/>
  <c r="E22"/>
  <c r="E24"/>
  <c r="E26"/>
  <c r="E28"/>
  <c r="E30"/>
  <c r="E32"/>
  <c r="H4"/>
  <c r="H36"/>
  <c r="H68"/>
  <c r="H19"/>
  <c r="H51"/>
  <c r="H83"/>
  <c r="H94"/>
  <c r="I101"/>
  <c r="D19"/>
  <c r="B27"/>
  <c r="B35"/>
  <c r="C15"/>
  <c r="C19"/>
  <c r="C23"/>
  <c r="C27"/>
  <c r="C31"/>
  <c r="G34"/>
  <c r="G36"/>
  <c r="G38"/>
  <c r="G40"/>
  <c r="G42"/>
  <c r="G44"/>
  <c r="B44"/>
  <c r="E47"/>
  <c r="E49"/>
  <c r="E51"/>
  <c r="E53"/>
  <c r="E55"/>
  <c r="E57"/>
  <c r="E59"/>
  <c r="E61"/>
  <c r="E63"/>
  <c r="I56"/>
  <c r="I60"/>
  <c r="I64"/>
  <c r="I66"/>
  <c r="I68"/>
  <c r="I70"/>
  <c r="I72"/>
  <c r="D41"/>
  <c r="D47"/>
  <c r="D51"/>
  <c r="D55"/>
  <c r="D59"/>
  <c r="D63"/>
  <c r="D67"/>
  <c r="D71"/>
  <c r="D75"/>
  <c r="D79"/>
  <c r="E75"/>
  <c r="E79"/>
  <c r="C83"/>
  <c r="C85"/>
  <c r="C87"/>
  <c r="G89"/>
  <c r="E93"/>
  <c r="G97"/>
  <c r="C76"/>
  <c r="C80"/>
  <c r="B84"/>
  <c r="B88"/>
  <c r="B92"/>
  <c r="B96"/>
  <c r="G88"/>
  <c r="I92"/>
  <c r="I96"/>
  <c r="H8"/>
  <c r="H76"/>
  <c r="H55"/>
  <c r="H3"/>
  <c r="D20"/>
  <c r="B36"/>
  <c r="G19"/>
  <c r="G27"/>
  <c r="I34"/>
  <c r="I38"/>
  <c r="I42"/>
  <c r="B45"/>
  <c r="G49"/>
  <c r="G53"/>
  <c r="G57"/>
  <c r="G61"/>
  <c r="G65"/>
  <c r="G69"/>
  <c r="G73"/>
  <c r="B49"/>
  <c r="B57"/>
  <c r="B65"/>
  <c r="B73"/>
  <c r="B81"/>
  <c r="I80"/>
  <c r="I85"/>
  <c r="C91"/>
  <c r="C99"/>
  <c r="G81"/>
  <c r="D89"/>
  <c r="I59"/>
  <c r="I63"/>
  <c r="E66"/>
  <c r="E68"/>
  <c r="E70"/>
  <c r="E72"/>
  <c r="E74"/>
  <c r="D46"/>
  <c r="D50"/>
  <c r="D54"/>
  <c r="D58"/>
  <c r="D62"/>
  <c r="D66"/>
  <c r="D70"/>
  <c r="D74"/>
  <c r="D78"/>
  <c r="D82"/>
  <c r="E78"/>
  <c r="E82"/>
  <c r="G84"/>
  <c r="G86"/>
  <c r="I88"/>
  <c r="G92"/>
  <c r="G96"/>
  <c r="C75"/>
  <c r="C79"/>
  <c r="B83"/>
  <c r="B87"/>
  <c r="B91"/>
  <c r="B95"/>
  <c r="B99"/>
  <c r="I91"/>
  <c r="C96"/>
  <c r="I3"/>
  <c r="H56"/>
  <c r="H39"/>
  <c r="H70"/>
  <c r="D16"/>
  <c r="B32"/>
  <c r="G17"/>
  <c r="G25"/>
  <c r="G33"/>
  <c r="I37"/>
  <c r="I41"/>
  <c r="B41"/>
  <c r="G48"/>
  <c r="G56"/>
  <c r="G64"/>
  <c r="G72"/>
  <c r="B55"/>
  <c r="B71"/>
  <c r="I78"/>
  <c r="E89"/>
  <c r="G79"/>
  <c r="D95"/>
  <c r="I5"/>
  <c r="G4"/>
  <c r="E3"/>
  <c r="D9"/>
  <c r="C11"/>
  <c r="B12"/>
  <c r="B4"/>
  <c r="F6"/>
  <c r="H48"/>
  <c r="D93"/>
  <c r="E98"/>
  <c r="G11"/>
  <c r="E13"/>
  <c r="C7"/>
  <c r="B6"/>
  <c r="H32"/>
  <c r="H47"/>
  <c r="H86"/>
  <c r="D18"/>
  <c r="B34"/>
  <c r="G18"/>
  <c r="G26"/>
  <c r="E34"/>
  <c r="E38"/>
  <c r="E42"/>
  <c r="B43"/>
  <c r="C49"/>
  <c r="C53"/>
  <c r="C57"/>
  <c r="C61"/>
  <c r="C65"/>
  <c r="C69"/>
  <c r="C73"/>
  <c r="B48"/>
  <c r="B56"/>
  <c r="B64"/>
  <c r="B72"/>
  <c r="B80"/>
  <c r="I79"/>
  <c r="E85"/>
  <c r="C90"/>
  <c r="C98"/>
  <c r="G80"/>
  <c r="D88"/>
  <c r="D96"/>
  <c r="G93"/>
  <c r="I7"/>
  <c r="I12"/>
  <c r="G6"/>
  <c r="E12"/>
  <c r="D4"/>
  <c r="D11"/>
  <c r="C4"/>
  <c r="B11"/>
  <c r="B3"/>
  <c r="F8"/>
  <c r="F19"/>
  <c r="F16"/>
  <c r="F24"/>
  <c r="F47"/>
  <c r="F63"/>
  <c r="F79"/>
  <c r="F40"/>
  <c r="F56"/>
  <c r="F72"/>
  <c r="F88"/>
  <c r="F93"/>
  <c r="F36"/>
  <c r="D97"/>
  <c r="I9"/>
  <c r="G8"/>
  <c r="D6"/>
  <c r="C6"/>
  <c r="F5"/>
  <c r="H64"/>
  <c r="H63"/>
  <c r="D101"/>
  <c r="D22"/>
  <c r="B38"/>
  <c r="G20"/>
  <c r="G28"/>
  <c r="E35"/>
  <c r="E39"/>
  <c r="E43"/>
  <c r="C46"/>
  <c r="C50"/>
  <c r="C54"/>
  <c r="C58"/>
  <c r="C62"/>
  <c r="C66"/>
  <c r="C70"/>
  <c r="C74"/>
  <c r="B50"/>
  <c r="B58"/>
  <c r="B66"/>
  <c r="B74"/>
  <c r="B82"/>
  <c r="I81"/>
  <c r="E86"/>
  <c r="C92"/>
  <c r="I99"/>
  <c r="G82"/>
  <c r="D90"/>
  <c r="D98"/>
  <c r="G95"/>
  <c r="I11"/>
  <c r="G5"/>
  <c r="G10"/>
  <c r="E7"/>
  <c r="D8"/>
  <c r="D3"/>
  <c r="C8"/>
  <c r="B9"/>
  <c r="F7"/>
  <c r="F12"/>
  <c r="F21"/>
  <c r="F18"/>
  <c r="F37"/>
  <c r="F45"/>
  <c r="F53"/>
  <c r="F61"/>
  <c r="F69"/>
  <c r="F77"/>
  <c r="F87"/>
  <c r="F38"/>
  <c r="F46"/>
  <c r="F62"/>
  <c r="F70"/>
  <c r="F86"/>
  <c r="F102"/>
  <c r="F30"/>
  <c r="F35"/>
  <c r="F67"/>
  <c r="F60"/>
  <c r="F92"/>
  <c r="F32"/>
  <c r="G52"/>
  <c r="G60"/>
  <c r="G68"/>
  <c r="B47"/>
  <c r="B63"/>
  <c r="B79"/>
  <c r="I84"/>
  <c r="C97"/>
  <c r="D87"/>
  <c r="E92"/>
  <c r="I10"/>
  <c r="E10"/>
  <c r="D10"/>
  <c r="C3"/>
  <c r="C10"/>
  <c r="B8"/>
  <c r="F9"/>
  <c r="H16"/>
  <c r="H92"/>
  <c r="E90"/>
  <c r="I6"/>
  <c r="E6"/>
  <c r="D5"/>
  <c r="C13"/>
  <c r="F13"/>
  <c r="H15"/>
  <c r="H79"/>
  <c r="E101"/>
  <c r="B26"/>
  <c r="G14"/>
  <c r="G22"/>
  <c r="G30"/>
  <c r="E36"/>
  <c r="E40"/>
  <c r="E44"/>
  <c r="C47"/>
  <c r="C51"/>
  <c r="C55"/>
  <c r="C59"/>
  <c r="C63"/>
  <c r="C67"/>
  <c r="C71"/>
  <c r="D42"/>
  <c r="B52"/>
  <c r="B60"/>
  <c r="B68"/>
  <c r="B76"/>
  <c r="I75"/>
  <c r="E83"/>
  <c r="E87"/>
  <c r="I93"/>
  <c r="G76"/>
  <c r="D84"/>
  <c r="D92"/>
  <c r="C89"/>
  <c r="E97"/>
  <c r="I4"/>
  <c r="G9"/>
  <c r="E4"/>
  <c r="E11"/>
  <c r="D12"/>
  <c r="C5"/>
  <c r="C12"/>
  <c r="B7"/>
  <c r="F11"/>
  <c r="F15"/>
  <c r="F23"/>
  <c r="F20"/>
  <c r="F39"/>
  <c r="F55"/>
  <c r="F71"/>
  <c r="F91"/>
  <c r="F48"/>
  <c r="F64"/>
  <c r="F80"/>
  <c r="F100"/>
  <c r="F28"/>
  <c r="F33"/>
  <c r="E94"/>
  <c r="G3"/>
  <c r="E5"/>
  <c r="D13"/>
  <c r="B10"/>
  <c r="F10"/>
  <c r="H31"/>
  <c r="H95"/>
  <c r="D14"/>
  <c r="B30"/>
  <c r="G16"/>
  <c r="G24"/>
  <c r="G32"/>
  <c r="E37"/>
  <c r="E41"/>
  <c r="E45"/>
  <c r="C48"/>
  <c r="C52"/>
  <c r="C56"/>
  <c r="C60"/>
  <c r="C64"/>
  <c r="C68"/>
  <c r="C72"/>
  <c r="B46"/>
  <c r="B54"/>
  <c r="B62"/>
  <c r="B70"/>
  <c r="B78"/>
  <c r="I77"/>
  <c r="E84"/>
  <c r="E88"/>
  <c r="I95"/>
  <c r="G78"/>
  <c r="D86"/>
  <c r="D94"/>
  <c r="E91"/>
  <c r="G99"/>
  <c r="I8"/>
  <c r="G13"/>
  <c r="E8"/>
  <c r="F3"/>
  <c r="D7"/>
  <c r="C9"/>
  <c r="B13"/>
  <c r="B5"/>
  <c r="F4"/>
  <c r="F17"/>
  <c r="F14"/>
  <c r="F22"/>
  <c r="F41"/>
  <c r="F49"/>
  <c r="F57"/>
  <c r="F65"/>
  <c r="F73"/>
  <c r="F81"/>
  <c r="F95"/>
  <c r="F42"/>
  <c r="F50"/>
  <c r="F58"/>
  <c r="F66"/>
  <c r="F74"/>
  <c r="F82"/>
  <c r="F90"/>
  <c r="F98"/>
  <c r="F89"/>
  <c r="F26"/>
  <c r="F34"/>
  <c r="F31"/>
  <c r="F43"/>
  <c r="F59"/>
  <c r="F75"/>
  <c r="F99"/>
  <c r="F52"/>
  <c r="F68"/>
  <c r="F84"/>
  <c r="F96"/>
  <c r="F101"/>
  <c r="F29"/>
  <c r="F54"/>
  <c r="F78"/>
  <c r="F94"/>
  <c r="F97"/>
  <c r="F27"/>
  <c r="F51"/>
  <c r="F85"/>
  <c r="F44"/>
  <c r="F76"/>
  <c r="F83"/>
</calcChain>
</file>

<file path=xl/sharedStrings.xml><?xml version="1.0" encoding="utf-8"?>
<sst xmlns="http://schemas.openxmlformats.org/spreadsheetml/2006/main" count="13" uniqueCount="13">
  <si>
    <t>i=</t>
  </si>
  <si>
    <t>P/F</t>
  </si>
  <si>
    <t>Periods</t>
  </si>
  <si>
    <t>F/P</t>
  </si>
  <si>
    <t>A/P</t>
  </si>
  <si>
    <t>P/A</t>
  </si>
  <si>
    <t>A/F</t>
  </si>
  <si>
    <t>F/A</t>
  </si>
  <si>
    <t>A/G</t>
  </si>
  <si>
    <t xml:space="preserve">Coefficient = </t>
  </si>
  <si>
    <t>G=</t>
  </si>
  <si>
    <t>g=</t>
  </si>
  <si>
    <t>PAG</t>
  </si>
</sst>
</file>

<file path=xl/styles.xml><?xml version="1.0" encoding="utf-8"?>
<styleSheet xmlns="http://schemas.openxmlformats.org/spreadsheetml/2006/main">
  <numFmts count="2">
    <numFmt numFmtId="164" formatCode="0.00000000000%"/>
    <numFmt numFmtId="165" formatCode="0.0000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102"/>
  <sheetViews>
    <sheetView tabSelected="1" workbookViewId="0">
      <selection activeCell="A6" sqref="A6"/>
    </sheetView>
  </sheetViews>
  <sheetFormatPr defaultRowHeight="15"/>
  <cols>
    <col min="1" max="1" width="23.28515625" customWidth="1"/>
    <col min="2" max="2" width="17.42578125" bestFit="1" customWidth="1"/>
    <col min="3" max="3" width="22" bestFit="1" customWidth="1"/>
    <col min="4" max="4" width="12.85546875" bestFit="1" customWidth="1"/>
    <col min="5" max="6" width="9.28515625" bestFit="1" customWidth="1"/>
    <col min="7" max="7" width="22" bestFit="1" customWidth="1"/>
    <col min="8" max="8" width="9.28515625" bestFit="1" customWidth="1"/>
    <col min="9" max="9" width="26.140625" bestFit="1" customWidth="1"/>
  </cols>
  <sheetData>
    <row r="1" spans="1:11">
      <c r="A1" t="s">
        <v>0</v>
      </c>
      <c r="B1" s="1">
        <v>0.15</v>
      </c>
      <c r="D1" t="s">
        <v>9</v>
      </c>
      <c r="E1">
        <v>1</v>
      </c>
      <c r="G1" t="s">
        <v>10</v>
      </c>
      <c r="H1">
        <v>1</v>
      </c>
      <c r="J1" t="s">
        <v>11</v>
      </c>
      <c r="K1">
        <v>1</v>
      </c>
    </row>
    <row r="2" spans="1:11">
      <c r="A2" t="s">
        <v>2</v>
      </c>
      <c r="B2" t="s">
        <v>1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12</v>
      </c>
    </row>
    <row r="3" spans="1:11">
      <c r="A3">
        <v>1</v>
      </c>
      <c r="B3" s="2">
        <f t="shared" ref="B3:B66" si="0">PF($E$1,$B$1,A3)</f>
        <v>0.86956518888473511</v>
      </c>
      <c r="C3" s="2">
        <f t="shared" ref="C3:C13" si="1">FP($E$1,$B$1,A3)</f>
        <v>1.1499999761581421</v>
      </c>
      <c r="D3" s="2">
        <f>AP($E$1,$B$1,A3)</f>
        <v>1.1499999761581421</v>
      </c>
      <c r="E3" s="2">
        <f>PA($E$1,$B$1,A3)</f>
        <v>0.86956518888473511</v>
      </c>
      <c r="F3" s="2">
        <f>AF($E$1,$B$1,A3)</f>
        <v>1</v>
      </c>
      <c r="G3" s="2">
        <f t="shared" ref="G3:G13" si="2">FA($E$1,$B$1,A3)</f>
        <v>1</v>
      </c>
      <c r="H3" s="2">
        <f>AG($E$1,$H$1,$B$1,A3)-$E$1</f>
        <v>0</v>
      </c>
      <c r="I3" s="2">
        <f t="shared" ref="I3:I13" si="3">PAG($E$1,$K$1,$B$1,A3)</f>
        <v>0.86956524848937988</v>
      </c>
    </row>
    <row r="4" spans="1:11">
      <c r="A4">
        <v>2</v>
      </c>
      <c r="B4" s="2">
        <f t="shared" si="0"/>
        <v>0.75614368915557861</v>
      </c>
      <c r="C4" s="2">
        <f t="shared" si="1"/>
        <v>1.3224999904632568</v>
      </c>
      <c r="D4" s="2">
        <f t="shared" ref="D4:D14" si="4">AP($E$1,$B$1,A4)</f>
        <v>0.61511629819869995</v>
      </c>
      <c r="E4" s="2">
        <f t="shared" ref="E4:E14" si="5">PA($E$1,$B$1,A4)</f>
        <v>1.6257089376449585</v>
      </c>
      <c r="F4" s="2">
        <f t="shared" ref="F4:F13" si="6">AF(1,$B$1,A4)</f>
        <v>0.46511629223823547</v>
      </c>
      <c r="G4" s="2">
        <f t="shared" si="2"/>
        <v>2.1500000953674316</v>
      </c>
      <c r="H4" s="2">
        <f t="shared" ref="H4:H67" si="7">AG($E$1,$H$1,$B$1,A4)-$E$1</f>
        <v>0.46511626243591309</v>
      </c>
      <c r="I4" s="2">
        <f t="shared" si="3"/>
        <v>2.3818526268005371</v>
      </c>
    </row>
    <row r="5" spans="1:11">
      <c r="A5">
        <v>3</v>
      </c>
      <c r="B5" s="2">
        <f t="shared" si="0"/>
        <v>0.6575162410736084</v>
      </c>
      <c r="C5" s="2">
        <f t="shared" si="1"/>
        <v>1.5208749771118164</v>
      </c>
      <c r="D5" s="2">
        <f t="shared" si="4"/>
        <v>0.43797695636749268</v>
      </c>
      <c r="E5" s="2">
        <f t="shared" si="5"/>
        <v>2.2832250595092773</v>
      </c>
      <c r="F5" s="2">
        <f t="shared" si="6"/>
        <v>0.2879769504070282</v>
      </c>
      <c r="G5" s="2">
        <f t="shared" si="2"/>
        <v>3.4725000858306885</v>
      </c>
      <c r="H5" s="2">
        <f t="shared" si="7"/>
        <v>0.90712738037109375</v>
      </c>
      <c r="I5" s="2">
        <f t="shared" si="3"/>
        <v>5.0119175910949707</v>
      </c>
    </row>
    <row r="6" spans="1:11">
      <c r="A6">
        <v>4</v>
      </c>
      <c r="B6" s="2">
        <f t="shared" si="0"/>
        <v>0.57175326347351074</v>
      </c>
      <c r="C6" s="2">
        <f t="shared" si="1"/>
        <v>1.7490062713623047</v>
      </c>
      <c r="D6" s="2">
        <f t="shared" si="4"/>
        <v>0.35026535391807556</v>
      </c>
      <c r="E6" s="2">
        <f t="shared" si="5"/>
        <v>2.8549783229827881</v>
      </c>
      <c r="F6" s="2">
        <f t="shared" si="6"/>
        <v>0.20026534795761108</v>
      </c>
      <c r="G6" s="2">
        <f t="shared" si="2"/>
        <v>4.9933748245239258</v>
      </c>
      <c r="H6" s="2">
        <f t="shared" si="7"/>
        <v>1.3262572288513184</v>
      </c>
      <c r="I6" s="2">
        <f t="shared" si="3"/>
        <v>9.5859441757202148</v>
      </c>
    </row>
    <row r="7" spans="1:11">
      <c r="A7">
        <v>5</v>
      </c>
      <c r="B7" s="2">
        <f t="shared" si="0"/>
        <v>0.49717673659324646</v>
      </c>
      <c r="C7" s="2">
        <f t="shared" si="1"/>
        <v>2.0113570690155029</v>
      </c>
      <c r="D7" s="2">
        <f t="shared" si="4"/>
        <v>0.29831555485725403</v>
      </c>
      <c r="E7" s="2">
        <f t="shared" si="5"/>
        <v>3.3521552085876465</v>
      </c>
      <c r="F7" s="2">
        <f t="shared" si="6"/>
        <v>0.14831554889678955</v>
      </c>
      <c r="G7" s="2">
        <f t="shared" si="2"/>
        <v>6.7423810958862305</v>
      </c>
      <c r="H7" s="2">
        <f t="shared" si="7"/>
        <v>1.7228150367736816</v>
      </c>
      <c r="I7" s="2">
        <f t="shared" si="3"/>
        <v>17.540773391723633</v>
      </c>
    </row>
    <row r="8" spans="1:11">
      <c r="A8">
        <v>6</v>
      </c>
      <c r="B8" s="2">
        <f t="shared" si="0"/>
        <v>0.43232759833335876</v>
      </c>
      <c r="C8" s="2">
        <f t="shared" si="1"/>
        <v>2.3130607604980469</v>
      </c>
      <c r="D8" s="2">
        <f t="shared" si="4"/>
        <v>0.26423689723014832</v>
      </c>
      <c r="E8" s="2">
        <f t="shared" si="5"/>
        <v>3.7844827175140381</v>
      </c>
      <c r="F8" s="2">
        <f t="shared" si="6"/>
        <v>0.11423690617084503</v>
      </c>
      <c r="G8" s="2">
        <f t="shared" si="2"/>
        <v>8.7537384033203125</v>
      </c>
      <c r="H8" s="2">
        <f t="shared" si="7"/>
        <v>2.0971903800964355</v>
      </c>
      <c r="I8" s="2">
        <f t="shared" si="3"/>
        <v>31.37525749206543</v>
      </c>
    </row>
    <row r="9" spans="1:11">
      <c r="A9">
        <v>7</v>
      </c>
      <c r="B9" s="2">
        <f t="shared" si="0"/>
        <v>0.37593704462051392</v>
      </c>
      <c r="C9" s="2">
        <f t="shared" si="1"/>
        <v>2.6600198745727539</v>
      </c>
      <c r="D9" s="2">
        <f t="shared" si="4"/>
        <v>0.24036036431789398</v>
      </c>
      <c r="E9" s="2">
        <f t="shared" si="5"/>
        <v>4.1604199409484863</v>
      </c>
      <c r="F9" s="2">
        <f t="shared" si="6"/>
        <v>9.0360365808010101E-2</v>
      </c>
      <c r="G9" s="2">
        <f t="shared" si="2"/>
        <v>11.066799163818359</v>
      </c>
      <c r="H9" s="2">
        <f t="shared" si="7"/>
        <v>2.4498496055603027</v>
      </c>
      <c r="I9" s="2">
        <f t="shared" si="3"/>
        <v>55.435230255126953</v>
      </c>
    </row>
    <row r="10" spans="1:11">
      <c r="A10">
        <v>8</v>
      </c>
      <c r="B10" s="2">
        <f t="shared" si="0"/>
        <v>0.32690176367759705</v>
      </c>
      <c r="C10" s="2">
        <f t="shared" si="1"/>
        <v>3.0590229034423828</v>
      </c>
      <c r="D10" s="2">
        <f t="shared" si="4"/>
        <v>0.22285008430480957</v>
      </c>
      <c r="E10" s="2">
        <f t="shared" si="5"/>
        <v>4.4873213768005371</v>
      </c>
      <c r="F10" s="2">
        <f t="shared" si="6"/>
        <v>7.2850093245506287E-2</v>
      </c>
      <c r="G10" s="2">
        <f t="shared" si="2"/>
        <v>13.726819038391113</v>
      </c>
      <c r="H10" s="2">
        <f t="shared" si="7"/>
        <v>2.7813284397125244</v>
      </c>
      <c r="I10" s="2">
        <f t="shared" si="3"/>
        <v>97.278663635253906</v>
      </c>
    </row>
    <row r="11" spans="1:11">
      <c r="A11">
        <v>9</v>
      </c>
      <c r="B11" s="2">
        <f t="shared" si="0"/>
        <v>0.28426241874694824</v>
      </c>
      <c r="C11" s="2">
        <f t="shared" si="1"/>
        <v>3.5178763866424561</v>
      </c>
      <c r="D11" s="2">
        <f t="shared" si="4"/>
        <v>0.20957401394844055</v>
      </c>
      <c r="E11" s="2">
        <f t="shared" si="5"/>
        <v>4.7715840339660645</v>
      </c>
      <c r="F11" s="2">
        <f t="shared" si="6"/>
        <v>5.9574015438556671E-2</v>
      </c>
      <c r="G11" s="2">
        <f t="shared" si="2"/>
        <v>16.785842895507812</v>
      </c>
      <c r="H11" s="2">
        <f t="shared" si="7"/>
        <v>3.0922255516052246</v>
      </c>
      <c r="I11" s="2">
        <f t="shared" si="3"/>
        <v>170.04985046386719</v>
      </c>
    </row>
    <row r="12" spans="1:11">
      <c r="A12">
        <v>10</v>
      </c>
      <c r="B12" s="2">
        <f t="shared" si="0"/>
        <v>0.24718470871448517</v>
      </c>
      <c r="C12" s="2">
        <f t="shared" si="1"/>
        <v>4.0455574989318848</v>
      </c>
      <c r="D12" s="2">
        <f t="shared" si="4"/>
        <v>0.19925206899642944</v>
      </c>
      <c r="E12" s="2">
        <f t="shared" si="5"/>
        <v>5.0187687873840332</v>
      </c>
      <c r="F12" s="2">
        <f t="shared" si="6"/>
        <v>4.9252063035964966E-2</v>
      </c>
      <c r="G12" s="2">
        <f t="shared" si="2"/>
        <v>20.303718566894531</v>
      </c>
      <c r="H12" s="2">
        <f t="shared" si="7"/>
        <v>3.3831958770751953</v>
      </c>
      <c r="I12" s="2">
        <f t="shared" si="3"/>
        <v>296.60845947265625</v>
      </c>
    </row>
    <row r="13" spans="1:11">
      <c r="A13">
        <v>11</v>
      </c>
      <c r="B13" s="2">
        <f t="shared" si="0"/>
        <v>0.21494323015213013</v>
      </c>
      <c r="C13" s="2">
        <f t="shared" si="1"/>
        <v>4.6523914337158203</v>
      </c>
      <c r="D13" s="2">
        <f t="shared" si="4"/>
        <v>0.19106897711753845</v>
      </c>
      <c r="E13" s="2">
        <f t="shared" si="5"/>
        <v>5.2337117195129395</v>
      </c>
      <c r="F13" s="2">
        <f t="shared" si="6"/>
        <v>4.106898233294487E-2</v>
      </c>
      <c r="G13" s="2">
        <f t="shared" si="2"/>
        <v>24.349275588989258</v>
      </c>
      <c r="H13" s="2">
        <f t="shared" si="7"/>
        <v>3.6549410820007324</v>
      </c>
      <c r="I13" s="2">
        <f t="shared" si="3"/>
        <v>516.71038818359375</v>
      </c>
    </row>
    <row r="14" spans="1:11">
      <c r="A14">
        <v>12</v>
      </c>
      <c r="B14" s="2">
        <f t="shared" si="0"/>
        <v>0.18690715730190277</v>
      </c>
      <c r="C14" s="2">
        <f t="shared" ref="C14:C77" si="8">FP($E$1,$B$1,A14)</f>
        <v>5.350250244140625</v>
      </c>
      <c r="D14" s="2">
        <f t="shared" si="4"/>
        <v>0.18448077142238617</v>
      </c>
      <c r="E14" s="2">
        <f t="shared" si="5"/>
        <v>5.420619010925293</v>
      </c>
      <c r="F14" s="2">
        <f t="shared" ref="F14:F24" si="9">AF($E$1,$B$1,A14)</f>
        <v>3.4480776637792587E-2</v>
      </c>
      <c r="G14" s="2">
        <f t="shared" ref="G14:G77" si="10">FA($E$1,$B$1,A14)</f>
        <v>29.001667022705078</v>
      </c>
      <c r="H14" s="2">
        <f t="shared" si="7"/>
        <v>3.9082045555114746</v>
      </c>
      <c r="I14" s="2">
        <f t="shared" ref="I14:I77" si="11">PAG($E$1,$K$1,$B$1,A14)</f>
        <v>899.49627685546875</v>
      </c>
    </row>
    <row r="15" spans="1:11">
      <c r="A15">
        <v>13</v>
      </c>
      <c r="B15" s="2">
        <f t="shared" si="0"/>
        <v>0.16252796351909637</v>
      </c>
      <c r="C15" s="2">
        <f t="shared" si="8"/>
        <v>6.1527876853942871</v>
      </c>
      <c r="D15" s="2">
        <f t="shared" ref="D15:D78" si="12">AP($E$1,$B$1,A15)</f>
        <v>0.17911045253276825</v>
      </c>
      <c r="E15" s="2">
        <f t="shared" ref="E15:E78" si="13">PA($E$1,$B$1,A15)</f>
        <v>5.5831470489501953</v>
      </c>
      <c r="F15" s="2">
        <f t="shared" si="9"/>
        <v>2.9110455885529518E-2</v>
      </c>
      <c r="G15" s="2">
        <f t="shared" si="10"/>
        <v>34.351917266845703</v>
      </c>
      <c r="H15" s="2">
        <f t="shared" si="7"/>
        <v>4.1437602043151855</v>
      </c>
      <c r="I15" s="2">
        <f t="shared" si="11"/>
        <v>1565.2109375</v>
      </c>
    </row>
    <row r="16" spans="1:11">
      <c r="A16">
        <v>14</v>
      </c>
      <c r="B16" s="2">
        <f t="shared" si="0"/>
        <v>0.14132866263389587</v>
      </c>
      <c r="C16" s="2">
        <f t="shared" si="8"/>
        <v>7.0757055282592773</v>
      </c>
      <c r="D16" s="2">
        <f t="shared" si="12"/>
        <v>0.17468848824501038</v>
      </c>
      <c r="E16" s="2">
        <f t="shared" si="13"/>
        <v>5.7244753837585449</v>
      </c>
      <c r="F16" s="2">
        <f t="shared" si="9"/>
        <v>2.4688489735126495E-2</v>
      </c>
      <c r="G16" s="2">
        <f t="shared" si="10"/>
        <v>40.504703521728516</v>
      </c>
      <c r="H16" s="2">
        <f t="shared" si="7"/>
        <v>4.3624076843261719</v>
      </c>
      <c r="I16" s="2">
        <f t="shared" si="11"/>
        <v>2722.9755859375</v>
      </c>
    </row>
    <row r="17" spans="1:9">
      <c r="A17">
        <v>15</v>
      </c>
      <c r="B17" s="2">
        <f t="shared" si="0"/>
        <v>0.12289448827505112</v>
      </c>
      <c r="C17" s="2">
        <f t="shared" si="8"/>
        <v>8.1370620727539062</v>
      </c>
      <c r="D17" s="2">
        <f t="shared" si="12"/>
        <v>0.17101705074310303</v>
      </c>
      <c r="E17" s="2">
        <f t="shared" si="13"/>
        <v>5.8473701477050781</v>
      </c>
      <c r="F17" s="2">
        <f t="shared" si="9"/>
        <v>2.1017052233219147E-2</v>
      </c>
      <c r="G17" s="2">
        <f t="shared" si="10"/>
        <v>47.580410003662109</v>
      </c>
      <c r="H17" s="2">
        <f t="shared" si="7"/>
        <v>4.5649614334106445</v>
      </c>
      <c r="I17" s="2">
        <f t="shared" si="11"/>
        <v>4736.4794921875</v>
      </c>
    </row>
    <row r="18" spans="1:9">
      <c r="A18">
        <v>16</v>
      </c>
      <c r="B18" s="2">
        <f t="shared" si="0"/>
        <v>0.10686477273702621</v>
      </c>
      <c r="C18" s="2">
        <f t="shared" si="8"/>
        <v>9.3576211929321289</v>
      </c>
      <c r="D18" s="2">
        <f t="shared" si="12"/>
        <v>0.16794769465923309</v>
      </c>
      <c r="E18" s="2">
        <f t="shared" si="13"/>
        <v>5.9542350769042969</v>
      </c>
      <c r="F18" s="2">
        <f t="shared" si="9"/>
        <v>1.7947690561413765E-2</v>
      </c>
      <c r="G18" s="2">
        <f t="shared" si="10"/>
        <v>55.717472076416016</v>
      </c>
      <c r="H18" s="2">
        <f t="shared" si="7"/>
        <v>4.7522463798522949</v>
      </c>
      <c r="I18" s="2">
        <f t="shared" si="11"/>
        <v>8238.2255859375</v>
      </c>
    </row>
    <row r="19" spans="1:9">
      <c r="A19">
        <v>17</v>
      </c>
      <c r="B19" s="2">
        <f t="shared" si="0"/>
        <v>9.2925883829593658E-2</v>
      </c>
      <c r="C19" s="2">
        <f t="shared" si="8"/>
        <v>10.761263847351074</v>
      </c>
      <c r="D19" s="2">
        <f t="shared" si="12"/>
        <v>0.16536685824394226</v>
      </c>
      <c r="E19" s="2">
        <f t="shared" si="13"/>
        <v>6.0471606254577637</v>
      </c>
      <c r="F19" s="2">
        <f t="shared" si="9"/>
        <v>1.5366862528026104E-2</v>
      </c>
      <c r="G19" s="2">
        <f t="shared" si="10"/>
        <v>65.075096130371094</v>
      </c>
      <c r="H19" s="2">
        <f t="shared" si="7"/>
        <v>4.9250888824462891</v>
      </c>
      <c r="I19" s="2">
        <f t="shared" si="11"/>
        <v>14328.21875</v>
      </c>
    </row>
    <row r="20" spans="1:9">
      <c r="A20">
        <v>18</v>
      </c>
      <c r="B20" s="2">
        <f t="shared" si="0"/>
        <v>8.0805115401744843E-2</v>
      </c>
      <c r="C20" s="2">
        <f t="shared" si="8"/>
        <v>12.375453948974609</v>
      </c>
      <c r="D20" s="2">
        <f t="shared" si="12"/>
        <v>0.16318628191947937</v>
      </c>
      <c r="E20" s="2">
        <f t="shared" si="13"/>
        <v>6.1279659271240234</v>
      </c>
      <c r="F20" s="2">
        <f t="shared" si="9"/>
        <v>1.3186287134885788E-2</v>
      </c>
      <c r="G20" s="2">
        <f t="shared" si="10"/>
        <v>75.836357116699219</v>
      </c>
      <c r="H20" s="2">
        <f t="shared" si="7"/>
        <v>5.0843119621276855</v>
      </c>
      <c r="I20" s="2">
        <f t="shared" si="11"/>
        <v>24919.51171875</v>
      </c>
    </row>
    <row r="21" spans="1:9">
      <c r="A21">
        <v>19</v>
      </c>
      <c r="B21" s="2">
        <f t="shared" si="0"/>
        <v>7.0265322923660278E-2</v>
      </c>
      <c r="C21" s="2">
        <f t="shared" si="8"/>
        <v>14.231771469116211</v>
      </c>
      <c r="D21" s="2">
        <f t="shared" si="12"/>
        <v>0.16133634746074677</v>
      </c>
      <c r="E21" s="2">
        <f t="shared" si="13"/>
        <v>6.1982312202453613</v>
      </c>
      <c r="F21" s="2">
        <f t="shared" si="9"/>
        <v>1.1336350813508034E-2</v>
      </c>
      <c r="G21" s="2">
        <f t="shared" si="10"/>
        <v>88.211807250976563</v>
      </c>
      <c r="H21" s="2">
        <f t="shared" si="7"/>
        <v>5.2307291030883789</v>
      </c>
      <c r="I21" s="2">
        <f t="shared" si="11"/>
        <v>43339.15234375</v>
      </c>
    </row>
    <row r="22" spans="1:9">
      <c r="A22">
        <v>20</v>
      </c>
      <c r="B22" s="2">
        <f t="shared" si="0"/>
        <v>6.1100278049707413E-2</v>
      </c>
      <c r="C22" s="2">
        <f t="shared" si="8"/>
        <v>16.366537094116211</v>
      </c>
      <c r="D22" s="2">
        <f t="shared" si="12"/>
        <v>0.15976147353649139</v>
      </c>
      <c r="E22" s="2">
        <f t="shared" si="13"/>
        <v>6.2593317031860352</v>
      </c>
      <c r="F22" s="2">
        <f t="shared" si="9"/>
        <v>9.7614703699946404E-3</v>
      </c>
      <c r="G22" s="2">
        <f t="shared" si="10"/>
        <v>102.44358062744141</v>
      </c>
      <c r="H22" s="2">
        <f t="shared" si="7"/>
        <v>5.3651371002197266</v>
      </c>
      <c r="I22" s="2">
        <f t="shared" si="11"/>
        <v>75373.3046875</v>
      </c>
    </row>
    <row r="23" spans="1:9">
      <c r="A23">
        <v>21</v>
      </c>
      <c r="B23" s="2">
        <f t="shared" si="0"/>
        <v>5.3130678832530975E-2</v>
      </c>
      <c r="C23" s="2">
        <f t="shared" si="8"/>
        <v>18.821517944335938</v>
      </c>
      <c r="D23" s="2">
        <f t="shared" si="12"/>
        <v>0.15841679275035858</v>
      </c>
      <c r="E23" s="2">
        <f t="shared" si="13"/>
        <v>6.312462329864502</v>
      </c>
      <c r="F23" s="2">
        <f t="shared" si="9"/>
        <v>8.4167914465069771E-3</v>
      </c>
      <c r="G23" s="2">
        <f t="shared" si="10"/>
        <v>118.81011962890625</v>
      </c>
      <c r="H23" s="2">
        <f t="shared" si="7"/>
        <v>5.4883160591125488</v>
      </c>
      <c r="I23" s="2">
        <f t="shared" si="11"/>
        <v>131084.890625</v>
      </c>
    </row>
    <row r="24" spans="1:9">
      <c r="A24">
        <v>22</v>
      </c>
      <c r="B24" s="2">
        <f t="shared" si="0"/>
        <v>4.6200588345527649E-2</v>
      </c>
      <c r="C24" s="2">
        <f t="shared" si="8"/>
        <v>21.644744873046875</v>
      </c>
      <c r="D24" s="2">
        <f t="shared" si="12"/>
        <v>0.15726576745510101</v>
      </c>
      <c r="E24" s="2">
        <f t="shared" si="13"/>
        <v>6.3586626052856445</v>
      </c>
      <c r="F24" s="2">
        <f t="shared" si="9"/>
        <v>7.2657712735235691E-3</v>
      </c>
      <c r="G24" s="2">
        <f t="shared" si="10"/>
        <v>137.63163757324219</v>
      </c>
      <c r="H24" s="2">
        <f t="shared" si="7"/>
        <v>5.601020336151123</v>
      </c>
      <c r="I24" s="2">
        <f t="shared" si="11"/>
        <v>227974.59375</v>
      </c>
    </row>
    <row r="25" spans="1:9">
      <c r="A25">
        <v>23</v>
      </c>
      <c r="B25" s="2">
        <f t="shared" si="0"/>
        <v>4.0174424648284912E-2</v>
      </c>
      <c r="C25" s="2">
        <f t="shared" si="8"/>
        <v>24.891456604003906</v>
      </c>
      <c r="D25" s="2">
        <f t="shared" si="12"/>
        <v>0.15627840161323547</v>
      </c>
      <c r="E25" s="2">
        <f t="shared" si="13"/>
        <v>6.3988370895385742</v>
      </c>
      <c r="F25" s="2">
        <f t="shared" ref="F25:F88" si="14">AF($E$1,$B$1,A25)</f>
        <v>6.2783947214484215E-3</v>
      </c>
      <c r="G25" s="2">
        <f t="shared" si="10"/>
        <v>159.27638244628906</v>
      </c>
      <c r="H25" s="2">
        <f t="shared" si="7"/>
        <v>5.7039794921875</v>
      </c>
      <c r="I25" s="2">
        <f t="shared" si="11"/>
        <v>396478.40625</v>
      </c>
    </row>
    <row r="26" spans="1:9">
      <c r="A26">
        <v>24</v>
      </c>
      <c r="B26" s="2">
        <f t="shared" si="0"/>
        <v>3.4934282302856445E-2</v>
      </c>
      <c r="C26" s="2">
        <f t="shared" si="8"/>
        <v>28.625175476074219</v>
      </c>
      <c r="D26" s="2">
        <f t="shared" si="12"/>
        <v>0.15542982518672943</v>
      </c>
      <c r="E26" s="2">
        <f t="shared" si="13"/>
        <v>6.4337716102600098</v>
      </c>
      <c r="F26" s="2">
        <f t="shared" si="14"/>
        <v>5.4298294708132744E-3</v>
      </c>
      <c r="G26" s="2">
        <f t="shared" si="10"/>
        <v>184.1678466796875</v>
      </c>
      <c r="H26" s="2">
        <f t="shared" si="7"/>
        <v>5.7978940010070801</v>
      </c>
      <c r="I26" s="2">
        <f t="shared" si="11"/>
        <v>689528.5625</v>
      </c>
    </row>
    <row r="27" spans="1:9">
      <c r="A27">
        <v>25</v>
      </c>
      <c r="B27" s="2">
        <f t="shared" si="0"/>
        <v>3.0377637594938278E-2</v>
      </c>
      <c r="C27" s="2">
        <f t="shared" si="8"/>
        <v>32.918952941894531</v>
      </c>
      <c r="D27" s="2">
        <f t="shared" si="12"/>
        <v>0.15469940006732941</v>
      </c>
      <c r="E27" s="2">
        <f t="shared" si="13"/>
        <v>6.464148998260498</v>
      </c>
      <c r="F27" s="2">
        <f t="shared" si="14"/>
        <v>4.6994024887681007E-3</v>
      </c>
      <c r="G27" s="2">
        <f t="shared" si="10"/>
        <v>212.79301452636719</v>
      </c>
      <c r="H27" s="2">
        <f t="shared" si="7"/>
        <v>5.8834328651428223</v>
      </c>
      <c r="I27" s="2">
        <f t="shared" si="11"/>
        <v>1199181</v>
      </c>
    </row>
    <row r="28" spans="1:9">
      <c r="A28">
        <v>26</v>
      </c>
      <c r="B28" s="2">
        <f t="shared" si="0"/>
        <v>2.641533687710762E-2</v>
      </c>
      <c r="C28" s="2">
        <f t="shared" si="8"/>
        <v>37.856796264648438</v>
      </c>
      <c r="D28" s="2">
        <f t="shared" si="12"/>
        <v>0.15406981110572815</v>
      </c>
      <c r="E28" s="2">
        <f t="shared" si="13"/>
        <v>6.4905643463134766</v>
      </c>
      <c r="F28" s="2">
        <f t="shared" si="14"/>
        <v>4.0698056109249592E-3</v>
      </c>
      <c r="G28" s="2">
        <f t="shared" si="10"/>
        <v>245.71197509765625</v>
      </c>
      <c r="H28" s="2">
        <f t="shared" si="7"/>
        <v>5.9612336158752441</v>
      </c>
      <c r="I28" s="2">
        <f t="shared" si="11"/>
        <v>2085533.125</v>
      </c>
    </row>
    <row r="29" spans="1:9">
      <c r="A29">
        <v>27</v>
      </c>
      <c r="B29" s="2">
        <f t="shared" si="0"/>
        <v>2.2969858720898628E-2</v>
      </c>
      <c r="C29" s="2">
        <f t="shared" si="8"/>
        <v>43.535316467285156</v>
      </c>
      <c r="D29" s="2">
        <f t="shared" si="12"/>
        <v>0.15352648496627808</v>
      </c>
      <c r="E29" s="2">
        <f t="shared" si="13"/>
        <v>6.5135340690612793</v>
      </c>
      <c r="F29" s="2">
        <f t="shared" si="14"/>
        <v>3.5264815669506788E-3</v>
      </c>
      <c r="G29" s="2">
        <f t="shared" si="10"/>
        <v>283.56875610351562</v>
      </c>
      <c r="H29" s="2">
        <f t="shared" si="7"/>
        <v>6.0318999290466309</v>
      </c>
      <c r="I29" s="2">
        <f t="shared" si="11"/>
        <v>3627015</v>
      </c>
    </row>
    <row r="30" spans="1:9">
      <c r="A30">
        <v>28</v>
      </c>
      <c r="B30" s="2">
        <f t="shared" si="0"/>
        <v>1.9973790273070335E-2</v>
      </c>
      <c r="C30" s="2">
        <f t="shared" si="8"/>
        <v>50.06561279296875</v>
      </c>
      <c r="D30" s="2">
        <f t="shared" si="12"/>
        <v>0.15305712819099426</v>
      </c>
      <c r="E30" s="2">
        <f t="shared" si="13"/>
        <v>6.53350830078125</v>
      </c>
      <c r="F30" s="2">
        <f t="shared" si="14"/>
        <v>3.0571308452636003E-3</v>
      </c>
      <c r="G30" s="2">
        <f t="shared" si="10"/>
        <v>327.10409545898437</v>
      </c>
      <c r="H30" s="2">
        <f t="shared" si="7"/>
        <v>6.0960021018981934</v>
      </c>
      <c r="I30" s="2">
        <f t="shared" si="11"/>
        <v>6307853.5</v>
      </c>
    </row>
    <row r="31" spans="1:9">
      <c r="A31">
        <v>29</v>
      </c>
      <c r="B31" s="2">
        <f t="shared" si="0"/>
        <v>1.7368512228131294E-2</v>
      </c>
      <c r="C31" s="2">
        <f t="shared" si="8"/>
        <v>57.575454711914063</v>
      </c>
      <c r="D31" s="2">
        <f t="shared" si="12"/>
        <v>0.15265132486820221</v>
      </c>
      <c r="E31" s="2">
        <f t="shared" si="13"/>
        <v>6.5508766174316406</v>
      </c>
      <c r="F31" s="2">
        <f t="shared" si="14"/>
        <v>2.6513265911489725E-3</v>
      </c>
      <c r="G31" s="2">
        <f t="shared" si="10"/>
        <v>377.169677734375</v>
      </c>
      <c r="H31" s="2">
        <f t="shared" si="7"/>
        <v>6.1540770530700684</v>
      </c>
      <c r="I31" s="2">
        <f t="shared" si="11"/>
        <v>10970181</v>
      </c>
    </row>
    <row r="32" spans="1:9">
      <c r="A32">
        <v>30</v>
      </c>
      <c r="B32" s="2">
        <f t="shared" si="0"/>
        <v>1.5103054232895374E-2</v>
      </c>
      <c r="C32" s="2">
        <f t="shared" si="8"/>
        <v>66.211769104003906</v>
      </c>
      <c r="D32" s="2">
        <f t="shared" si="12"/>
        <v>0.15230019390583038</v>
      </c>
      <c r="E32" s="2">
        <f t="shared" si="13"/>
        <v>6.5659794807434082</v>
      </c>
      <c r="F32" s="2">
        <f t="shared" si="14"/>
        <v>2.3001981899142265E-3</v>
      </c>
      <c r="G32" s="2">
        <f t="shared" si="10"/>
        <v>434.74514770507812</v>
      </c>
      <c r="H32" s="2">
        <f t="shared" si="7"/>
        <v>6.2066268920898438</v>
      </c>
      <c r="I32" s="2">
        <f t="shared" si="11"/>
        <v>19078576</v>
      </c>
    </row>
    <row r="33" spans="1:9">
      <c r="A33">
        <v>31</v>
      </c>
      <c r="B33" s="2">
        <f t="shared" si="0"/>
        <v>1.3133090920746326E-2</v>
      </c>
      <c r="C33" s="2">
        <f t="shared" si="8"/>
        <v>76.143539428710938</v>
      </c>
      <c r="D33" s="2">
        <f t="shared" si="12"/>
        <v>0.1519961804151535</v>
      </c>
      <c r="E33" s="2">
        <f t="shared" si="13"/>
        <v>6.5791125297546387</v>
      </c>
      <c r="F33" s="2">
        <f t="shared" si="14"/>
        <v>1.9961795769631863E-3</v>
      </c>
      <c r="G33" s="2">
        <f t="shared" si="10"/>
        <v>500.9569091796875</v>
      </c>
      <c r="H33" s="2">
        <f t="shared" si="7"/>
        <v>6.2541227340698242</v>
      </c>
      <c r="I33" s="2">
        <f t="shared" si="11"/>
        <v>33180134</v>
      </c>
    </row>
    <row r="34" spans="1:9">
      <c r="A34">
        <v>32</v>
      </c>
      <c r="B34" s="2">
        <f t="shared" si="0"/>
        <v>1.1420078575611115E-2</v>
      </c>
      <c r="C34" s="2">
        <f t="shared" si="8"/>
        <v>87.565071105957031</v>
      </c>
      <c r="D34" s="2">
        <f t="shared" si="12"/>
        <v>0.15173280239105225</v>
      </c>
      <c r="E34" s="2">
        <f t="shared" si="13"/>
        <v>6.5905327796936035</v>
      </c>
      <c r="F34" s="2">
        <f t="shared" si="14"/>
        <v>1.7328006215393543E-3</v>
      </c>
      <c r="G34" s="2">
        <f t="shared" si="10"/>
        <v>577.1004638671875</v>
      </c>
      <c r="H34" s="2">
        <f t="shared" si="7"/>
        <v>6.2970023155212402</v>
      </c>
      <c r="I34" s="2">
        <f t="shared" si="11"/>
        <v>57704584</v>
      </c>
    </row>
    <row r="35" spans="1:9">
      <c r="A35">
        <v>33</v>
      </c>
      <c r="B35" s="2">
        <f t="shared" si="0"/>
        <v>9.9305035546422005E-3</v>
      </c>
      <c r="C35" s="2">
        <f t="shared" si="8"/>
        <v>100.6998291015625</v>
      </c>
      <c r="D35" s="2">
        <f t="shared" si="12"/>
        <v>0.1515045166015625</v>
      </c>
      <c r="E35" s="2">
        <f t="shared" si="13"/>
        <v>6.6004633903503418</v>
      </c>
      <c r="F35" s="2">
        <f t="shared" si="14"/>
        <v>1.5045161126181483E-3</v>
      </c>
      <c r="G35" s="2">
        <f t="shared" si="10"/>
        <v>664.66552734375</v>
      </c>
      <c r="H35" s="2">
        <f t="shared" si="7"/>
        <v>6.3356733322143555</v>
      </c>
      <c r="I35" s="2">
        <f t="shared" si="11"/>
        <v>100355800</v>
      </c>
    </row>
    <row r="36" spans="1:9">
      <c r="A36">
        <v>34</v>
      </c>
      <c r="B36" s="2">
        <f t="shared" si="0"/>
        <v>8.635220117866993E-3</v>
      </c>
      <c r="C36" s="2">
        <f t="shared" si="8"/>
        <v>115.80480194091797</v>
      </c>
      <c r="D36" s="2">
        <f t="shared" si="12"/>
        <v>0.15130656957626343</v>
      </c>
      <c r="E36" s="2">
        <f t="shared" si="13"/>
        <v>6.6090984344482422</v>
      </c>
      <c r="F36" s="2">
        <f t="shared" si="14"/>
        <v>1.3065655948594213E-3</v>
      </c>
      <c r="G36" s="2">
        <f t="shared" si="10"/>
        <v>765.3653564453125</v>
      </c>
      <c r="H36" s="2">
        <f t="shared" si="7"/>
        <v>6.3705120086669922</v>
      </c>
      <c r="I36" s="2">
        <f t="shared" si="11"/>
        <v>174531824</v>
      </c>
    </row>
    <row r="37" spans="1:9">
      <c r="A37">
        <v>35</v>
      </c>
      <c r="B37" s="2">
        <f t="shared" si="0"/>
        <v>7.5088874436914921E-3</v>
      </c>
      <c r="C37" s="2">
        <f t="shared" si="8"/>
        <v>133.17552185058594</v>
      </c>
      <c r="D37" s="2">
        <f t="shared" si="12"/>
        <v>0.15113484859466553</v>
      </c>
      <c r="E37" s="2">
        <f t="shared" si="13"/>
        <v>6.6166071891784668</v>
      </c>
      <c r="F37" s="2">
        <f t="shared" si="14"/>
        <v>1.134854624979198E-3</v>
      </c>
      <c r="G37" s="2">
        <f t="shared" si="10"/>
        <v>881.170166015625</v>
      </c>
      <c r="H37" s="2">
        <f t="shared" si="7"/>
        <v>6.4018673896789551</v>
      </c>
      <c r="I37" s="2">
        <f t="shared" si="11"/>
        <v>303533632</v>
      </c>
    </row>
    <row r="38" spans="1:9">
      <c r="A38">
        <v>36</v>
      </c>
      <c r="B38" s="2">
        <f t="shared" si="0"/>
        <v>6.5294671803712845E-3</v>
      </c>
      <c r="C38" s="2">
        <f t="shared" si="8"/>
        <v>153.15185546875</v>
      </c>
      <c r="D38" s="2">
        <f t="shared" si="12"/>
        <v>0.15098585188388824</v>
      </c>
      <c r="E38" s="2">
        <f t="shared" si="13"/>
        <v>6.6231369972229004</v>
      </c>
      <c r="F38" s="2">
        <f t="shared" si="14"/>
        <v>9.858572157099843E-4</v>
      </c>
      <c r="G38" s="2">
        <f t="shared" si="10"/>
        <v>1014.345703125</v>
      </c>
      <c r="H38" s="2">
        <f t="shared" si="7"/>
        <v>6.430060863494873</v>
      </c>
      <c r="I38" s="2">
        <f t="shared" si="11"/>
        <v>527884576</v>
      </c>
    </row>
    <row r="39" spans="1:9">
      <c r="A39">
        <v>37</v>
      </c>
      <c r="B39" s="2">
        <f t="shared" si="0"/>
        <v>5.677797831594944E-3</v>
      </c>
      <c r="C39" s="2">
        <f t="shared" si="8"/>
        <v>176.1246337890625</v>
      </c>
      <c r="D39" s="2">
        <f t="shared" si="12"/>
        <v>0.15085653960704803</v>
      </c>
      <c r="E39" s="2">
        <f t="shared" si="13"/>
        <v>6.628814697265625</v>
      </c>
      <c r="F39" s="2">
        <f t="shared" si="14"/>
        <v>8.5653283167630434E-4</v>
      </c>
      <c r="G39" s="2">
        <f t="shared" si="10"/>
        <v>1167.49755859375</v>
      </c>
      <c r="H39" s="2">
        <f t="shared" si="7"/>
        <v>6.4553885459899902</v>
      </c>
      <c r="I39" s="2">
        <f t="shared" si="11"/>
        <v>918060160</v>
      </c>
    </row>
    <row r="40" spans="1:9">
      <c r="A40">
        <v>38</v>
      </c>
      <c r="B40" s="2">
        <f t="shared" si="0"/>
        <v>4.9372152425348759E-3</v>
      </c>
      <c r="C40" s="2">
        <f t="shared" si="8"/>
        <v>202.54331970214844</v>
      </c>
      <c r="D40" s="2">
        <f t="shared" si="12"/>
        <v>0.15074425935745239</v>
      </c>
      <c r="E40" s="2">
        <f t="shared" si="13"/>
        <v>6.6337518692016602</v>
      </c>
      <c r="F40" s="2">
        <f t="shared" si="14"/>
        <v>7.4425683123990893E-4</v>
      </c>
      <c r="G40" s="2">
        <f t="shared" si="10"/>
        <v>1343.6221923828125</v>
      </c>
      <c r="H40" s="2">
        <f t="shared" si="7"/>
        <v>6.4781217575073242</v>
      </c>
      <c r="I40" s="2">
        <f t="shared" si="11"/>
        <v>1596626432</v>
      </c>
    </row>
    <row r="41" spans="1:9">
      <c r="A41">
        <v>39</v>
      </c>
      <c r="B41" s="2">
        <f t="shared" si="0"/>
        <v>4.2932308278977871E-3</v>
      </c>
      <c r="C41" s="2">
        <f t="shared" si="8"/>
        <v>232.92481994628906</v>
      </c>
      <c r="D41" s="2">
        <f t="shared" si="12"/>
        <v>0.15064676105976105</v>
      </c>
      <c r="E41" s="2">
        <f t="shared" si="13"/>
        <v>6.6380453109741211</v>
      </c>
      <c r="F41" s="2">
        <f t="shared" si="14"/>
        <v>6.4676132751628757E-4</v>
      </c>
      <c r="G41" s="2">
        <f t="shared" si="10"/>
        <v>1546.16552734375</v>
      </c>
      <c r="H41" s="2">
        <f t="shared" si="7"/>
        <v>6.4985089302062988</v>
      </c>
      <c r="I41" s="2">
        <f t="shared" si="11"/>
        <v>2776741632</v>
      </c>
    </row>
    <row r="42" spans="1:9">
      <c r="A42">
        <v>40</v>
      </c>
      <c r="B42" s="2">
        <f t="shared" si="0"/>
        <v>3.7332440260797739E-3</v>
      </c>
      <c r="C42" s="2">
        <f t="shared" si="8"/>
        <v>267.86355590820312</v>
      </c>
      <c r="D42" s="2">
        <f t="shared" si="12"/>
        <v>0.15056207776069641</v>
      </c>
      <c r="E42" s="2">
        <f t="shared" si="13"/>
        <v>6.6417784690856934</v>
      </c>
      <c r="F42" s="2">
        <f t="shared" si="14"/>
        <v>5.6208501337096095E-4</v>
      </c>
      <c r="G42" s="2">
        <f t="shared" si="10"/>
        <v>1779.09033203125</v>
      </c>
      <c r="H42" s="2">
        <f t="shared" si="7"/>
        <v>6.516777515411377</v>
      </c>
      <c r="I42" s="2">
        <f t="shared" si="11"/>
        <v>4829115904</v>
      </c>
    </row>
    <row r="43" spans="1:9">
      <c r="A43">
        <v>41</v>
      </c>
      <c r="B43" s="2">
        <f t="shared" si="0"/>
        <v>3.2462992239743471E-3</v>
      </c>
      <c r="C43" s="2">
        <f t="shared" si="8"/>
        <v>308.0430908203125</v>
      </c>
      <c r="D43" s="2">
        <f t="shared" si="12"/>
        <v>0.15048852562904358</v>
      </c>
      <c r="E43" s="2">
        <f t="shared" si="13"/>
        <v>6.6450247764587402</v>
      </c>
      <c r="F43" s="2">
        <f t="shared" si="14"/>
        <v>4.8853078624233603E-4</v>
      </c>
      <c r="G43" s="2">
        <f t="shared" si="10"/>
        <v>2046.953857421875</v>
      </c>
      <c r="H43" s="2">
        <f t="shared" si="7"/>
        <v>6.533134937286377</v>
      </c>
      <c r="I43" s="2">
        <f t="shared" si="11"/>
        <v>8398462976</v>
      </c>
    </row>
    <row r="44" spans="1:9">
      <c r="A44">
        <v>42</v>
      </c>
      <c r="B44" s="2">
        <f t="shared" si="0"/>
        <v>2.8228687588125467E-3</v>
      </c>
      <c r="C44" s="2">
        <f t="shared" si="8"/>
        <v>354.24954223632812</v>
      </c>
      <c r="D44" s="2">
        <f t="shared" si="12"/>
        <v>0.15042462944984436</v>
      </c>
      <c r="E44" s="2">
        <f t="shared" si="13"/>
        <v>6.6478476524353027</v>
      </c>
      <c r="F44" s="2">
        <f t="shared" si="14"/>
        <v>4.2462899000383914E-4</v>
      </c>
      <c r="G44" s="2">
        <f t="shared" si="10"/>
        <v>2354.996826171875</v>
      </c>
      <c r="H44" s="2">
        <f t="shared" si="7"/>
        <v>6.5477705001831055</v>
      </c>
      <c r="I44" s="2">
        <f t="shared" si="11"/>
        <v>14606022656</v>
      </c>
    </row>
    <row r="45" spans="1:9">
      <c r="A45">
        <v>43</v>
      </c>
      <c r="B45" s="2">
        <f t="shared" si="0"/>
        <v>2.4546685162931681E-3</v>
      </c>
      <c r="C45" s="2">
        <f t="shared" si="8"/>
        <v>407.386962890625</v>
      </c>
      <c r="D45" s="2">
        <f t="shared" si="12"/>
        <v>0.15036910772323608</v>
      </c>
      <c r="E45" s="2">
        <f t="shared" si="13"/>
        <v>6.6503024101257324</v>
      </c>
      <c r="F45" s="2">
        <f t="shared" si="14"/>
        <v>3.6910633207298815E-4</v>
      </c>
      <c r="G45" s="2">
        <f t="shared" si="10"/>
        <v>2709.24658203125</v>
      </c>
      <c r="H45" s="2">
        <f t="shared" si="7"/>
        <v>6.5608563423156738</v>
      </c>
      <c r="I45" s="2">
        <f t="shared" si="11"/>
        <v>25401778176</v>
      </c>
    </row>
    <row r="46" spans="1:9">
      <c r="A46">
        <v>44</v>
      </c>
      <c r="B46" s="2">
        <f t="shared" si="0"/>
        <v>2.1344944834709167E-3</v>
      </c>
      <c r="C46" s="2">
        <f t="shared" si="8"/>
        <v>468.49502563476562</v>
      </c>
      <c r="D46" s="2">
        <f t="shared" si="12"/>
        <v>0.15032085776329041</v>
      </c>
      <c r="E46" s="2">
        <f t="shared" si="13"/>
        <v>6.6524367332458496</v>
      </c>
      <c r="F46" s="2">
        <f t="shared" si="14"/>
        <v>3.2085904967971146E-4</v>
      </c>
      <c r="G46" s="2">
        <f t="shared" si="10"/>
        <v>3116.633544921875</v>
      </c>
      <c r="H46" s="2">
        <f t="shared" si="7"/>
        <v>6.5725479125976563</v>
      </c>
      <c r="I46" s="2">
        <f t="shared" si="11"/>
        <v>44177006592</v>
      </c>
    </row>
    <row r="47" spans="1:9">
      <c r="A47">
        <v>45</v>
      </c>
      <c r="B47" s="2">
        <f t="shared" si="0"/>
        <v>1.8560821190476418E-3</v>
      </c>
      <c r="C47" s="2">
        <f t="shared" si="8"/>
        <v>538.769287109375</v>
      </c>
      <c r="D47" s="2">
        <f t="shared" si="12"/>
        <v>0.15027892589569092</v>
      </c>
      <c r="E47" s="2">
        <f t="shared" si="13"/>
        <v>6.6542925834655762</v>
      </c>
      <c r="F47" s="2">
        <f t="shared" si="14"/>
        <v>2.7893003425560892E-4</v>
      </c>
      <c r="G47" s="2">
        <f t="shared" si="10"/>
        <v>3585.12841796875</v>
      </c>
      <c r="H47" s="2">
        <f t="shared" si="7"/>
        <v>6.5829877853393555</v>
      </c>
      <c r="I47" s="2">
        <f t="shared" si="11"/>
        <v>76829581312</v>
      </c>
    </row>
    <row r="48" spans="1:9">
      <c r="A48">
        <v>46</v>
      </c>
      <c r="B48" s="2">
        <f t="shared" si="0"/>
        <v>1.6139844665303826E-3</v>
      </c>
      <c r="C48" s="2">
        <f t="shared" si="8"/>
        <v>619.58465576171875</v>
      </c>
      <c r="D48" s="2">
        <f t="shared" si="12"/>
        <v>0.15024249255657196</v>
      </c>
      <c r="E48" s="2">
        <f t="shared" si="13"/>
        <v>6.6559066772460937</v>
      </c>
      <c r="F48" s="2">
        <f t="shared" si="14"/>
        <v>2.4248904082924128E-4</v>
      </c>
      <c r="G48" s="2">
        <f t="shared" si="10"/>
        <v>4123.89794921875</v>
      </c>
      <c r="H48" s="2">
        <f t="shared" si="7"/>
        <v>6.5923032760620117</v>
      </c>
      <c r="I48" s="2">
        <f t="shared" si="11"/>
        <v>133616664576</v>
      </c>
    </row>
    <row r="49" spans="1:9">
      <c r="A49">
        <v>47</v>
      </c>
      <c r="B49" s="2">
        <f t="shared" si="0"/>
        <v>1.4034647028893232E-3</v>
      </c>
      <c r="C49" s="2">
        <f t="shared" si="8"/>
        <v>712.5223388671875</v>
      </c>
      <c r="D49" s="2">
        <f t="shared" si="12"/>
        <v>0.15021081268787384</v>
      </c>
      <c r="E49" s="2">
        <f t="shared" si="13"/>
        <v>6.6573100090026855</v>
      </c>
      <c r="F49" s="2">
        <f t="shared" si="14"/>
        <v>2.1081557497382164E-4</v>
      </c>
      <c r="G49" s="2">
        <f t="shared" si="10"/>
        <v>4743.482421875</v>
      </c>
      <c r="H49" s="2">
        <f t="shared" si="7"/>
        <v>6.6006112098693848</v>
      </c>
      <c r="I49" s="2">
        <f t="shared" si="11"/>
        <v>232376811520</v>
      </c>
    </row>
    <row r="50" spans="1:9">
      <c r="A50">
        <v>48</v>
      </c>
      <c r="B50" s="2">
        <f t="shared" si="0"/>
        <v>1.2204041704535484E-3</v>
      </c>
      <c r="C50" s="2">
        <f t="shared" si="8"/>
        <v>819.40069580078125</v>
      </c>
      <c r="D50" s="2">
        <f t="shared" si="12"/>
        <v>0.1501832902431488</v>
      </c>
      <c r="E50" s="2">
        <f t="shared" si="13"/>
        <v>6.6585307121276855</v>
      </c>
      <c r="F50" s="2">
        <f t="shared" si="14"/>
        <v>1.832842972362414E-4</v>
      </c>
      <c r="G50" s="2">
        <f t="shared" si="10"/>
        <v>5456.0048828125</v>
      </c>
      <c r="H50" s="2">
        <f t="shared" si="7"/>
        <v>6.6080155372619629</v>
      </c>
      <c r="I50" s="2">
        <f t="shared" si="11"/>
        <v>404133576704</v>
      </c>
    </row>
    <row r="51" spans="1:9">
      <c r="A51">
        <v>49</v>
      </c>
      <c r="B51" s="2">
        <f t="shared" si="0"/>
        <v>1.0612210026010871E-3</v>
      </c>
      <c r="C51" s="2">
        <f t="shared" si="8"/>
        <v>942.310791015625</v>
      </c>
      <c r="D51" s="2">
        <f t="shared" si="12"/>
        <v>0.15015935897827148</v>
      </c>
      <c r="E51" s="2">
        <f t="shared" si="13"/>
        <v>6.6595916748046875</v>
      </c>
      <c r="F51" s="2">
        <f t="shared" si="14"/>
        <v>1.5935224655549973E-4</v>
      </c>
      <c r="G51" s="2">
        <f t="shared" si="10"/>
        <v>6275.4052734375</v>
      </c>
      <c r="H51" s="2">
        <f t="shared" si="7"/>
        <v>6.6146116256713867</v>
      </c>
      <c r="I51" s="2">
        <f t="shared" si="11"/>
        <v>702841028608</v>
      </c>
    </row>
    <row r="52" spans="1:9">
      <c r="A52">
        <v>50</v>
      </c>
      <c r="B52" s="2">
        <f t="shared" si="0"/>
        <v>9.2280085664242506E-4</v>
      </c>
      <c r="C52" s="2">
        <f t="shared" si="8"/>
        <v>1083.657470703125</v>
      </c>
      <c r="D52" s="2">
        <f t="shared" si="12"/>
        <v>0.15013854205608368</v>
      </c>
      <c r="E52" s="2">
        <f t="shared" si="13"/>
        <v>6.6605148315429687</v>
      </c>
      <c r="F52" s="2">
        <f t="shared" si="14"/>
        <v>1.3854798453394324E-4</v>
      </c>
      <c r="G52" s="2">
        <f t="shared" si="10"/>
        <v>7217.71630859375</v>
      </c>
      <c r="H52" s="2">
        <f t="shared" si="7"/>
        <v>6.6204838752746582</v>
      </c>
      <c r="I52" s="2">
        <f t="shared" si="11"/>
        <v>1222332252160</v>
      </c>
    </row>
    <row r="53" spans="1:9">
      <c r="A53">
        <v>51</v>
      </c>
      <c r="B53" s="2">
        <f t="shared" si="0"/>
        <v>8.0243550473824143E-4</v>
      </c>
      <c r="C53" s="2">
        <f t="shared" si="8"/>
        <v>1246.2060546875</v>
      </c>
      <c r="D53" s="2">
        <f t="shared" si="12"/>
        <v>0.15012046694755554</v>
      </c>
      <c r="E53" s="2">
        <f t="shared" si="13"/>
        <v>6.6613168716430664</v>
      </c>
      <c r="F53" s="2">
        <f t="shared" si="14"/>
        <v>1.2046199117321521E-4</v>
      </c>
      <c r="G53" s="2">
        <f t="shared" si="10"/>
        <v>8301.3740234375</v>
      </c>
      <c r="H53" s="2">
        <f t="shared" si="7"/>
        <v>6.6257095336914063</v>
      </c>
      <c r="I53" s="2">
        <f t="shared" si="11"/>
        <v>2125795295232</v>
      </c>
    </row>
    <row r="54" spans="1:9">
      <c r="A54">
        <v>52</v>
      </c>
      <c r="B54" s="2">
        <f t="shared" si="0"/>
        <v>6.9777003955096006E-4</v>
      </c>
      <c r="C54" s="2">
        <f t="shared" si="8"/>
        <v>1433.136962890625</v>
      </c>
      <c r="D54" s="2">
        <f t="shared" si="12"/>
        <v>0.15010473132133484</v>
      </c>
      <c r="E54" s="2">
        <f t="shared" si="13"/>
        <v>6.6620149612426758</v>
      </c>
      <c r="F54" s="2">
        <f t="shared" si="14"/>
        <v>1.0473858856130391E-4</v>
      </c>
      <c r="G54" s="2">
        <f t="shared" si="10"/>
        <v>9547.580078125</v>
      </c>
      <c r="H54" s="2">
        <f t="shared" si="7"/>
        <v>6.6303572654724121</v>
      </c>
      <c r="I54" s="2">
        <f t="shared" si="11"/>
        <v>3697035444224</v>
      </c>
    </row>
    <row r="55" spans="1:9">
      <c r="A55">
        <v>53</v>
      </c>
      <c r="B55" s="2">
        <f t="shared" si="0"/>
        <v>6.0675654094666243E-4</v>
      </c>
      <c r="C55" s="2">
        <f t="shared" si="8"/>
        <v>1648.1075439453125</v>
      </c>
      <c r="D55" s="2">
        <f t="shared" si="12"/>
        <v>0.15009106695652008</v>
      </c>
      <c r="E55" s="2">
        <f t="shared" si="13"/>
        <v>6.6626214981079102</v>
      </c>
      <c r="F55" s="2">
        <f t="shared" si="14"/>
        <v>9.1068737674504519E-5</v>
      </c>
      <c r="G55" s="2">
        <f t="shared" si="10"/>
        <v>10980.716796875</v>
      </c>
      <c r="H55" s="2">
        <f t="shared" si="7"/>
        <v>6.6344890594482422</v>
      </c>
      <c r="I55" s="2">
        <f t="shared" si="11"/>
        <v>6429626859520</v>
      </c>
    </row>
    <row r="56" spans="1:9">
      <c r="A56">
        <v>54</v>
      </c>
      <c r="B56" s="2">
        <f t="shared" si="0"/>
        <v>5.2761437837034464E-4</v>
      </c>
      <c r="C56" s="2">
        <f t="shared" si="8"/>
        <v>1895.3236083984375</v>
      </c>
      <c r="D56" s="2">
        <f t="shared" si="12"/>
        <v>0.15007919073104858</v>
      </c>
      <c r="E56" s="2">
        <f t="shared" si="13"/>
        <v>6.663149356842041</v>
      </c>
      <c r="F56" s="2">
        <f t="shared" si="14"/>
        <v>7.9183933848980814E-5</v>
      </c>
      <c r="G56" s="2">
        <f t="shared" si="10"/>
        <v>12628.82421875</v>
      </c>
      <c r="H56" s="2">
        <f t="shared" si="7"/>
        <v>6.638160228729248</v>
      </c>
      <c r="I56" s="2">
        <f t="shared" si="11"/>
        <v>11181959938048</v>
      </c>
    </row>
    <row r="57" spans="1:9">
      <c r="A57">
        <v>55</v>
      </c>
      <c r="B57" s="2">
        <f t="shared" si="0"/>
        <v>4.5879511162638664E-4</v>
      </c>
      <c r="C57" s="2">
        <f t="shared" si="8"/>
        <v>2179.6220703125</v>
      </c>
      <c r="D57" s="2">
        <f t="shared" si="12"/>
        <v>0.15006884932518005</v>
      </c>
      <c r="E57" s="2">
        <f t="shared" si="13"/>
        <v>6.6636080741882324</v>
      </c>
      <c r="F57" s="2">
        <f t="shared" si="14"/>
        <v>6.8850851675961167E-5</v>
      </c>
      <c r="G57" s="2">
        <f t="shared" si="10"/>
        <v>14524.1474609375</v>
      </c>
      <c r="H57" s="2">
        <f t="shared" si="7"/>
        <v>6.6414213180541992</v>
      </c>
      <c r="I57" s="2">
        <f t="shared" si="11"/>
        <v>19446888398848</v>
      </c>
    </row>
    <row r="58" spans="1:9">
      <c r="A58">
        <v>56</v>
      </c>
      <c r="B58" s="2">
        <f t="shared" si="0"/>
        <v>3.9895228110253811E-4</v>
      </c>
      <c r="C58" s="2">
        <f t="shared" si="8"/>
        <v>2506.5654296875</v>
      </c>
      <c r="D58" s="2">
        <f t="shared" si="12"/>
        <v>0.15005986392498016</v>
      </c>
      <c r="E58" s="2">
        <f t="shared" si="13"/>
        <v>6.6640071868896484</v>
      </c>
      <c r="F58" s="2">
        <f t="shared" si="14"/>
        <v>5.9866724768653512E-5</v>
      </c>
      <c r="G58" s="2">
        <f t="shared" si="10"/>
        <v>16703.76953125</v>
      </c>
      <c r="H58" s="2">
        <f t="shared" si="7"/>
        <v>6.6443161964416504</v>
      </c>
      <c r="I58" s="2">
        <f t="shared" si="11"/>
        <v>33820673835008</v>
      </c>
    </row>
    <row r="59" spans="1:9">
      <c r="A59">
        <v>57</v>
      </c>
      <c r="B59" s="2">
        <f t="shared" si="0"/>
        <v>3.4691501059569418E-4</v>
      </c>
      <c r="C59" s="2">
        <f t="shared" si="8"/>
        <v>2882.55029296875</v>
      </c>
      <c r="D59" s="2">
        <f t="shared" si="12"/>
        <v>0.15005205571651459</v>
      </c>
      <c r="E59" s="2">
        <f t="shared" si="13"/>
        <v>6.6643538475036621</v>
      </c>
      <c r="F59" s="2">
        <f t="shared" si="14"/>
        <v>5.2055311243748292E-5</v>
      </c>
      <c r="G59" s="2">
        <f t="shared" si="10"/>
        <v>19210.3359375</v>
      </c>
      <c r="H59" s="2">
        <f t="shared" si="7"/>
        <v>6.646885871887207</v>
      </c>
      <c r="I59" s="2">
        <f t="shared" si="11"/>
        <v>58818566291456</v>
      </c>
    </row>
    <row r="60" spans="1:9">
      <c r="A60">
        <v>58</v>
      </c>
      <c r="B60" s="2">
        <f t="shared" si="0"/>
        <v>3.0166521901264787E-4</v>
      </c>
      <c r="C60" s="2">
        <f t="shared" si="8"/>
        <v>3314.932861328125</v>
      </c>
      <c r="D60" s="2">
        <f t="shared" si="12"/>
        <v>0.15004526078701019</v>
      </c>
      <c r="E60" s="2">
        <f t="shared" si="13"/>
        <v>6.6646556854248047</v>
      </c>
      <c r="F60" s="2">
        <f t="shared" si="14"/>
        <v>4.5263437641551718E-5</v>
      </c>
      <c r="G60" s="2">
        <f t="shared" si="10"/>
        <v>22092.88671875</v>
      </c>
      <c r="H60" s="2">
        <f t="shared" si="7"/>
        <v>6.6491646766662598</v>
      </c>
      <c r="I60" s="2">
        <f t="shared" si="11"/>
        <v>102293160591360</v>
      </c>
    </row>
    <row r="61" spans="1:9">
      <c r="A61">
        <v>59</v>
      </c>
      <c r="B61" s="2">
        <f t="shared" si="0"/>
        <v>2.6231759693473577E-4</v>
      </c>
      <c r="C61" s="2">
        <f t="shared" si="8"/>
        <v>3812.1728515625</v>
      </c>
      <c r="D61" s="2">
        <f t="shared" si="12"/>
        <v>0.15003935992717743</v>
      </c>
      <c r="E61" s="2">
        <f t="shared" si="13"/>
        <v>6.6649179458618164</v>
      </c>
      <c r="F61" s="2">
        <f t="shared" si="14"/>
        <v>3.9357964851660654E-5</v>
      </c>
      <c r="G61" s="2">
        <f t="shared" si="10"/>
        <v>25407.818359375</v>
      </c>
      <c r="H61" s="2">
        <f t="shared" si="7"/>
        <v>6.6511859893798828</v>
      </c>
      <c r="I61" s="2">
        <f t="shared" si="11"/>
        <v>177901152501760</v>
      </c>
    </row>
    <row r="62" spans="1:9">
      <c r="A62">
        <v>60</v>
      </c>
      <c r="B62" s="2">
        <f t="shared" si="0"/>
        <v>2.2810226073488593E-4</v>
      </c>
      <c r="C62" s="2">
        <f t="shared" si="8"/>
        <v>4383.99853515625</v>
      </c>
      <c r="D62" s="2">
        <f t="shared" si="12"/>
        <v>0.15003421902656555</v>
      </c>
      <c r="E62" s="2">
        <f t="shared" si="13"/>
        <v>6.6651458740234375</v>
      </c>
      <c r="F62" s="2">
        <f t="shared" si="14"/>
        <v>3.4223143302369863E-5</v>
      </c>
      <c r="G62" s="2">
        <f t="shared" si="10"/>
        <v>29219.9921875</v>
      </c>
      <c r="H62" s="2">
        <f t="shared" si="7"/>
        <v>6.652977466583252</v>
      </c>
      <c r="I62" s="2">
        <f t="shared" si="11"/>
        <v>309393304322048</v>
      </c>
    </row>
    <row r="63" spans="1:9">
      <c r="A63">
        <v>61</v>
      </c>
      <c r="B63" s="2">
        <f t="shared" si="0"/>
        <v>1.98349793208763E-4</v>
      </c>
      <c r="C63" s="2">
        <f t="shared" si="8"/>
        <v>5041.5986328125</v>
      </c>
      <c r="D63" s="2">
        <f t="shared" si="12"/>
        <v>0.15002976357936859</v>
      </c>
      <c r="E63" s="2">
        <f t="shared" si="13"/>
        <v>6.66534423828125</v>
      </c>
      <c r="F63" s="2">
        <f t="shared" si="14"/>
        <v>2.9758370146737434E-5</v>
      </c>
      <c r="G63" s="2">
        <f t="shared" si="10"/>
        <v>33603.9921875</v>
      </c>
      <c r="H63" s="2">
        <f t="shared" si="7"/>
        <v>6.6545648574829102</v>
      </c>
      <c r="I63" s="2">
        <f t="shared" si="11"/>
        <v>538075348336640</v>
      </c>
    </row>
    <row r="64" spans="1:9">
      <c r="A64">
        <v>62</v>
      </c>
      <c r="B64" s="2">
        <f t="shared" si="0"/>
        <v>1.7247807409148663E-4</v>
      </c>
      <c r="C64" s="2">
        <f t="shared" si="8"/>
        <v>5797.83837890625</v>
      </c>
      <c r="D64" s="2">
        <f t="shared" si="12"/>
        <v>0.150025874376297</v>
      </c>
      <c r="E64" s="2">
        <f t="shared" si="13"/>
        <v>6.6655168533325195</v>
      </c>
      <c r="F64" s="2">
        <f t="shared" si="14"/>
        <v>2.5876173822325654E-5</v>
      </c>
      <c r="G64" s="2">
        <f t="shared" si="10"/>
        <v>38645.58984375</v>
      </c>
      <c r="H64" s="2">
        <f t="shared" si="7"/>
        <v>6.6559710502624512</v>
      </c>
      <c r="I64" s="2">
        <f t="shared" si="11"/>
        <v>935783179485184</v>
      </c>
    </row>
    <row r="65" spans="1:9">
      <c r="A65">
        <v>63</v>
      </c>
      <c r="B65" s="2">
        <f t="shared" si="0"/>
        <v>1.4998092956375331E-4</v>
      </c>
      <c r="C65" s="2">
        <f t="shared" si="8"/>
        <v>6667.51416015625</v>
      </c>
      <c r="D65" s="2">
        <f t="shared" si="12"/>
        <v>0.15002250671386719</v>
      </c>
      <c r="E65" s="2">
        <f t="shared" si="13"/>
        <v>6.6656665802001953</v>
      </c>
      <c r="F65" s="2">
        <f t="shared" si="14"/>
        <v>2.2500515115098096E-5</v>
      </c>
      <c r="G65" s="2">
        <f t="shared" si="10"/>
        <v>44443.42578125</v>
      </c>
      <c r="H65" s="2">
        <f t="shared" si="7"/>
        <v>6.6572165489196777</v>
      </c>
      <c r="I65" s="2">
        <f t="shared" si="11"/>
        <v>1627449142018048</v>
      </c>
    </row>
    <row r="66" spans="1:9">
      <c r="A66">
        <v>64</v>
      </c>
      <c r="B66" s="2">
        <f t="shared" si="0"/>
        <v>1.3041820784565061E-4</v>
      </c>
      <c r="C66" s="2">
        <f t="shared" si="8"/>
        <v>7667.64111328125</v>
      </c>
      <c r="D66" s="2">
        <f t="shared" si="12"/>
        <v>0.150019571185112</v>
      </c>
      <c r="E66" s="2">
        <f t="shared" si="13"/>
        <v>6.665797233581543</v>
      </c>
      <c r="F66" s="2">
        <f t="shared" si="14"/>
        <v>1.9565282855182886E-5</v>
      </c>
      <c r="G66" s="2">
        <f t="shared" si="10"/>
        <v>51110.94140625</v>
      </c>
      <c r="H66" s="2">
        <f t="shared" si="7"/>
        <v>6.6583189964294434</v>
      </c>
      <c r="I66" s="2">
        <f t="shared" si="11"/>
        <v>2830346403971072</v>
      </c>
    </row>
    <row r="67" spans="1:9">
      <c r="A67">
        <v>65</v>
      </c>
      <c r="B67" s="2">
        <f t="shared" ref="B67:B102" si="15">PF($E$1,$B$1,A67)</f>
        <v>1.1340713535901159E-4</v>
      </c>
      <c r="C67" s="2">
        <f t="shared" si="8"/>
        <v>8817.787109375</v>
      </c>
      <c r="D67" s="2">
        <f t="shared" si="12"/>
        <v>0.15001700818538666</v>
      </c>
      <c r="E67" s="2">
        <f t="shared" si="13"/>
        <v>6.6659107208251953</v>
      </c>
      <c r="F67" s="2">
        <f t="shared" si="14"/>
        <v>1.7012998796417378E-5</v>
      </c>
      <c r="G67" s="2">
        <f t="shared" si="10"/>
        <v>58778.58203125</v>
      </c>
      <c r="H67" s="2">
        <f t="shared" si="7"/>
        <v>6.659294605255127</v>
      </c>
      <c r="I67" s="2">
        <f t="shared" si="11"/>
        <v>4922341758861312</v>
      </c>
    </row>
    <row r="68" spans="1:9">
      <c r="A68">
        <v>66</v>
      </c>
      <c r="B68" s="2">
        <f t="shared" si="15"/>
        <v>9.8614902526605874E-5</v>
      </c>
      <c r="C68" s="2">
        <f t="shared" si="8"/>
        <v>10140.455078125</v>
      </c>
      <c r="D68" s="2">
        <f t="shared" si="12"/>
        <v>0.15001478791236877</v>
      </c>
      <c r="E68" s="2">
        <f t="shared" si="13"/>
        <v>6.6660094261169434</v>
      </c>
      <c r="F68" s="2">
        <f t="shared" si="14"/>
        <v>1.4793693480896764E-5</v>
      </c>
      <c r="G68" s="2">
        <f t="shared" si="10"/>
        <v>67596.3671875</v>
      </c>
      <c r="H68" s="2">
        <f t="shared" ref="H68:H102" si="16">AG($E$1,$H$1,$B$1,A68)-$E$1</f>
        <v>6.6601572036743164</v>
      </c>
      <c r="I68" s="2">
        <f t="shared" si="11"/>
        <v>8560594059788288</v>
      </c>
    </row>
    <row r="69" spans="1:9">
      <c r="A69">
        <v>67</v>
      </c>
      <c r="B69" s="2">
        <f t="shared" si="15"/>
        <v>8.5752086306456476E-5</v>
      </c>
      <c r="C69" s="2">
        <f t="shared" si="8"/>
        <v>11661.5234375</v>
      </c>
      <c r="D69" s="2">
        <f t="shared" si="12"/>
        <v>0.15001286566257477</v>
      </c>
      <c r="E69" s="2">
        <f t="shared" si="13"/>
        <v>6.6660947799682617</v>
      </c>
      <c r="F69" s="2">
        <f t="shared" si="14"/>
        <v>1.2863915799243841E-5</v>
      </c>
      <c r="G69" s="2">
        <f t="shared" si="10"/>
        <v>77736.828125</v>
      </c>
      <c r="H69" s="2">
        <f t="shared" si="16"/>
        <v>6.6609206199645996</v>
      </c>
      <c r="I69" s="2">
        <f t="shared" si="11"/>
        <v>1.4887989809250304E+16</v>
      </c>
    </row>
    <row r="70" spans="1:9">
      <c r="A70">
        <v>68</v>
      </c>
      <c r="B70" s="2">
        <f t="shared" si="15"/>
        <v>7.4567033152561635E-5</v>
      </c>
      <c r="C70" s="2">
        <f t="shared" si="8"/>
        <v>13410.751953125</v>
      </c>
      <c r="D70" s="2">
        <f t="shared" si="12"/>
        <v>0.15001118183135986</v>
      </c>
      <c r="E70" s="2">
        <f t="shared" si="13"/>
        <v>6.6661696434020996</v>
      </c>
      <c r="F70" s="2">
        <f t="shared" si="14"/>
        <v>1.1185888979525771E-5</v>
      </c>
      <c r="G70" s="2">
        <f t="shared" si="10"/>
        <v>89398.3515625</v>
      </c>
      <c r="H70" s="2">
        <f t="shared" si="16"/>
        <v>6.6615958213806152</v>
      </c>
      <c r="I70" s="2">
        <f t="shared" si="11"/>
        <v>2.58921566568448E+16</v>
      </c>
    </row>
    <row r="71" spans="1:9">
      <c r="A71">
        <v>69</v>
      </c>
      <c r="B71" s="2">
        <f t="shared" si="15"/>
        <v>6.484089681180194E-5</v>
      </c>
      <c r="C71" s="2">
        <f t="shared" si="8"/>
        <v>15422.365234375</v>
      </c>
      <c r="D71" s="2">
        <f t="shared" si="12"/>
        <v>0.15000972151756287</v>
      </c>
      <c r="E71" s="2">
        <f t="shared" si="13"/>
        <v>6.6662344932556152</v>
      </c>
      <c r="F71" s="2">
        <f t="shared" si="14"/>
        <v>9.7267657110933214E-6</v>
      </c>
      <c r="G71" s="2">
        <f t="shared" si="10"/>
        <v>102809.1015625</v>
      </c>
      <c r="H71" s="2">
        <f t="shared" si="16"/>
        <v>6.6621923446655273</v>
      </c>
      <c r="I71" s="2">
        <f t="shared" si="11"/>
        <v>4.5029841585569792E+16</v>
      </c>
    </row>
    <row r="72" spans="1:9">
      <c r="A72">
        <v>70</v>
      </c>
      <c r="B72" s="2">
        <f t="shared" si="15"/>
        <v>5.6383389164693654E-5</v>
      </c>
      <c r="C72" s="2">
        <f t="shared" si="8"/>
        <v>17735.720703125</v>
      </c>
      <c r="D72" s="2">
        <f t="shared" si="12"/>
        <v>0.15000845491886139</v>
      </c>
      <c r="E72" s="2">
        <f t="shared" si="13"/>
        <v>6.6662907600402832</v>
      </c>
      <c r="F72" s="2">
        <f t="shared" si="14"/>
        <v>8.4579851318267174E-6</v>
      </c>
      <c r="G72" s="2">
        <f t="shared" si="10"/>
        <v>118231.46875</v>
      </c>
      <c r="H72" s="2">
        <f t="shared" si="16"/>
        <v>6.6627197265625</v>
      </c>
      <c r="I72" s="2">
        <f t="shared" si="11"/>
        <v>7.8312767227953152E+16</v>
      </c>
    </row>
    <row r="73" spans="1:9">
      <c r="A73">
        <v>71</v>
      </c>
      <c r="B73" s="2">
        <f t="shared" si="15"/>
        <v>4.9029033107217401E-5</v>
      </c>
      <c r="C73" s="2">
        <f t="shared" si="8"/>
        <v>20396.078125</v>
      </c>
      <c r="D73" s="2">
        <f t="shared" si="12"/>
        <v>0.15000735223293304</v>
      </c>
      <c r="E73" s="2">
        <f t="shared" si="13"/>
        <v>6.6663398742675781</v>
      </c>
      <c r="F73" s="2">
        <f t="shared" si="14"/>
        <v>7.3547157626308035E-6</v>
      </c>
      <c r="G73" s="2">
        <f t="shared" si="10"/>
        <v>135967.1875</v>
      </c>
      <c r="H73" s="2">
        <f t="shared" si="16"/>
        <v>6.6631855964660645</v>
      </c>
      <c r="I73" s="2">
        <f t="shared" si="11"/>
        <v>1.3619611878555648E+17</v>
      </c>
    </row>
    <row r="74" spans="1:9">
      <c r="A74">
        <v>72</v>
      </c>
      <c r="B74" s="2">
        <f t="shared" si="15"/>
        <v>4.2633942939573899E-5</v>
      </c>
      <c r="C74" s="2">
        <f t="shared" si="8"/>
        <v>23455.490234375</v>
      </c>
      <c r="D74" s="2">
        <f t="shared" si="12"/>
        <v>0.15000639855861664</v>
      </c>
      <c r="E74" s="2">
        <f t="shared" si="13"/>
        <v>6.6663823127746582</v>
      </c>
      <c r="F74" s="2">
        <f t="shared" si="14"/>
        <v>6.395363925548736E-6</v>
      </c>
      <c r="G74" s="2">
        <f t="shared" si="10"/>
        <v>156363.265625</v>
      </c>
      <c r="H74" s="2">
        <f t="shared" si="16"/>
        <v>6.6635971069335938</v>
      </c>
      <c r="I74" s="2">
        <f t="shared" si="11"/>
        <v>2.368628249895895E+17</v>
      </c>
    </row>
    <row r="75" spans="1:9">
      <c r="A75">
        <v>73</v>
      </c>
      <c r="B75" s="2">
        <f t="shared" si="15"/>
        <v>3.7072994018672034E-5</v>
      </c>
      <c r="C75" s="2">
        <f t="shared" si="8"/>
        <v>26973.8125</v>
      </c>
      <c r="D75" s="2">
        <f t="shared" si="12"/>
        <v>0.15000556409358978</v>
      </c>
      <c r="E75" s="2">
        <f t="shared" si="13"/>
        <v>6.666419506072998</v>
      </c>
      <c r="F75" s="2">
        <f t="shared" si="14"/>
        <v>5.5611553761991672E-6</v>
      </c>
      <c r="G75" s="2">
        <f t="shared" si="10"/>
        <v>179818.75</v>
      </c>
      <c r="H75" s="2">
        <f t="shared" si="16"/>
        <v>6.6639604568481445</v>
      </c>
      <c r="I75" s="2">
        <f t="shared" si="11"/>
        <v>4.1193532988116173E+17</v>
      </c>
    </row>
    <row r="76" spans="1:9">
      <c r="A76">
        <v>74</v>
      </c>
      <c r="B76" s="2">
        <f t="shared" si="15"/>
        <v>3.2237385312328115E-5</v>
      </c>
      <c r="C76" s="2">
        <f t="shared" si="8"/>
        <v>31019.884765625</v>
      </c>
      <c r="D76" s="2">
        <f t="shared" si="12"/>
        <v>0.15000483393669128</v>
      </c>
      <c r="E76" s="2">
        <f t="shared" si="13"/>
        <v>6.6664519309997559</v>
      </c>
      <c r="F76" s="2">
        <f t="shared" si="14"/>
        <v>4.8357637751905713E-6</v>
      </c>
      <c r="G76" s="2">
        <f t="shared" si="10"/>
        <v>206792.5625</v>
      </c>
      <c r="H76" s="2">
        <f t="shared" si="16"/>
        <v>6.664280891418457</v>
      </c>
      <c r="I76" s="2">
        <f t="shared" si="11"/>
        <v>7.1640934106582221E+17</v>
      </c>
    </row>
    <row r="77" spans="1:9">
      <c r="A77">
        <v>75</v>
      </c>
      <c r="B77" s="2">
        <f t="shared" si="15"/>
        <v>2.8032509362674318E-5</v>
      </c>
      <c r="C77" s="2">
        <f t="shared" si="8"/>
        <v>35672.8671875</v>
      </c>
      <c r="D77" s="2">
        <f t="shared" si="12"/>
        <v>0.15000420808792114</v>
      </c>
      <c r="E77" s="2">
        <f t="shared" si="13"/>
        <v>6.6664795875549316</v>
      </c>
      <c r="F77" s="2">
        <f t="shared" si="14"/>
        <v>4.2049941839650273E-6</v>
      </c>
      <c r="G77" s="2">
        <f t="shared" si="10"/>
        <v>237812.453125</v>
      </c>
      <c r="H77" s="2">
        <f t="shared" si="16"/>
        <v>6.6645641326904297</v>
      </c>
      <c r="I77" s="2">
        <f t="shared" si="11"/>
        <v>1.2459291932004188E+18</v>
      </c>
    </row>
    <row r="78" spans="1:9">
      <c r="A78">
        <v>76</v>
      </c>
      <c r="B78" s="2">
        <f t="shared" si="15"/>
        <v>2.4376095097977668E-5</v>
      </c>
      <c r="C78" s="2">
        <f t="shared" ref="C78:C102" si="17">FP($E$1,$B$1,A78)</f>
        <v>41023.796875</v>
      </c>
      <c r="D78" s="2">
        <f t="shared" si="12"/>
        <v>0.15000365674495697</v>
      </c>
      <c r="E78" s="2">
        <f t="shared" si="13"/>
        <v>6.6665043830871582</v>
      </c>
      <c r="F78" s="2">
        <f t="shared" si="14"/>
        <v>3.656503395177424E-6</v>
      </c>
      <c r="G78" s="2">
        <f t="shared" ref="G78:G102" si="18">FA($E$1,$B$1,A78)</f>
        <v>273485.3125</v>
      </c>
      <c r="H78" s="2">
        <f t="shared" si="16"/>
        <v>6.6648139953613281</v>
      </c>
      <c r="I78" s="2">
        <f t="shared" ref="I78:I102" si="19">PAG($E$1,$K$1,$B$1,A78)</f>
        <v>2.1668335408203694E+18</v>
      </c>
    </row>
    <row r="79" spans="1:9">
      <c r="A79">
        <v>77</v>
      </c>
      <c r="B79" s="2">
        <f t="shared" si="15"/>
        <v>2.1196603483986109E-5</v>
      </c>
      <c r="C79" s="2">
        <f t="shared" si="17"/>
        <v>47177.3671875</v>
      </c>
      <c r="D79" s="2">
        <f t="shared" ref="D79:D99" si="20">AP($E$1,$B$1,A79)</f>
        <v>0.15000317990779877</v>
      </c>
      <c r="E79" s="2">
        <f t="shared" ref="E79:E99" si="21">PA($E$1,$B$1,A79)</f>
        <v>6.6665253639221191</v>
      </c>
      <c r="F79" s="2">
        <f t="shared" si="14"/>
        <v>3.179558007104788E-6</v>
      </c>
      <c r="G79" s="2">
        <f t="shared" si="18"/>
        <v>314509.125</v>
      </c>
      <c r="H79" s="2">
        <f t="shared" si="16"/>
        <v>6.665034294128418</v>
      </c>
      <c r="I79" s="2">
        <f t="shared" si="19"/>
        <v>3.7684062296557486E+18</v>
      </c>
    </row>
    <row r="80" spans="1:9">
      <c r="A80">
        <v>78</v>
      </c>
      <c r="B80" s="2">
        <f t="shared" si="15"/>
        <v>1.8431830540066585E-5</v>
      </c>
      <c r="C80" s="2">
        <f t="shared" si="17"/>
        <v>54253.97265625</v>
      </c>
      <c r="D80" s="2">
        <f t="shared" si="20"/>
        <v>0.15000276267528534</v>
      </c>
      <c r="E80" s="2">
        <f t="shared" si="21"/>
        <v>6.6665439605712891</v>
      </c>
      <c r="F80" s="2">
        <f t="shared" si="14"/>
        <v>2.7648254672385519E-6</v>
      </c>
      <c r="G80" s="2">
        <f t="shared" si="18"/>
        <v>361686.5</v>
      </c>
      <c r="H80" s="2">
        <f t="shared" si="16"/>
        <v>6.6652288436889648</v>
      </c>
      <c r="I80" s="2">
        <f t="shared" si="19"/>
        <v>6.5537501080332534E+18</v>
      </c>
    </row>
    <row r="81" spans="1:9">
      <c r="A81">
        <v>79</v>
      </c>
      <c r="B81" s="2">
        <f t="shared" si="15"/>
        <v>1.6027677702368237E-5</v>
      </c>
      <c r="C81" s="2">
        <f t="shared" si="17"/>
        <v>62392.0703125</v>
      </c>
      <c r="D81" s="2">
        <f t="shared" si="20"/>
        <v>0.15000240504741669</v>
      </c>
      <c r="E81" s="2">
        <f t="shared" si="21"/>
        <v>6.6665596961975098</v>
      </c>
      <c r="F81" s="2">
        <f t="shared" si="14"/>
        <v>2.404190354354796E-6</v>
      </c>
      <c r="G81" s="2">
        <f t="shared" si="18"/>
        <v>415940.46875</v>
      </c>
      <c r="H81" s="2">
        <f t="shared" si="16"/>
        <v>6.665400505065918</v>
      </c>
      <c r="I81" s="2">
        <f t="shared" si="19"/>
        <v>1.1397826705084121E+19</v>
      </c>
    </row>
    <row r="82" spans="1:9">
      <c r="A82">
        <v>80</v>
      </c>
      <c r="B82" s="2">
        <f t="shared" si="15"/>
        <v>1.3937111361883581E-5</v>
      </c>
      <c r="C82" s="2">
        <f t="shared" si="17"/>
        <v>71750.8828125</v>
      </c>
      <c r="D82" s="2">
        <f t="shared" si="20"/>
        <v>0.15000209212303162</v>
      </c>
      <c r="E82" s="2">
        <f t="shared" si="21"/>
        <v>6.6665735244750977</v>
      </c>
      <c r="F82" s="2">
        <f t="shared" si="14"/>
        <v>2.090595899062464E-6</v>
      </c>
      <c r="G82" s="2">
        <f t="shared" si="18"/>
        <v>478332.53125</v>
      </c>
      <c r="H82" s="2">
        <f t="shared" si="16"/>
        <v>6.6655516624450684</v>
      </c>
      <c r="I82" s="2">
        <f t="shared" si="19"/>
        <v>1.9822307886848016E+19</v>
      </c>
    </row>
    <row r="83" spans="1:9">
      <c r="A83">
        <v>81</v>
      </c>
      <c r="B83" s="2">
        <f t="shared" si="15"/>
        <v>1.2119226994400378E-5</v>
      </c>
      <c r="C83" s="2">
        <f t="shared" si="17"/>
        <v>82513.5078125</v>
      </c>
      <c r="D83" s="2">
        <f t="shared" si="20"/>
        <v>0.15000182390213013</v>
      </c>
      <c r="E83" s="2">
        <f t="shared" si="21"/>
        <v>6.6665859222412109</v>
      </c>
      <c r="F83" s="2">
        <f t="shared" si="14"/>
        <v>1.8179060816692072E-6</v>
      </c>
      <c r="G83" s="2">
        <f t="shared" si="18"/>
        <v>550083.4375</v>
      </c>
      <c r="H83" s="2">
        <f t="shared" si="16"/>
        <v>6.6656851768493652</v>
      </c>
      <c r="I83" s="2">
        <f t="shared" si="19"/>
        <v>3.4473579602916671E+19</v>
      </c>
    </row>
    <row r="84" spans="1:9">
      <c r="A84">
        <v>82</v>
      </c>
      <c r="B84" s="2">
        <f t="shared" si="15"/>
        <v>1.05384588096058E-5</v>
      </c>
      <c r="C84" s="2">
        <f t="shared" si="17"/>
        <v>94890.5390625</v>
      </c>
      <c r="D84" s="2">
        <f t="shared" si="20"/>
        <v>0.15000158548355103</v>
      </c>
      <c r="E84" s="2">
        <f t="shared" si="21"/>
        <v>6.6665964126586914</v>
      </c>
      <c r="F84" s="2">
        <f t="shared" si="14"/>
        <v>1.5807854651939124E-6</v>
      </c>
      <c r="G84" s="2">
        <f t="shared" si="18"/>
        <v>632596.9375</v>
      </c>
      <c r="H84" s="2">
        <f t="shared" si="16"/>
        <v>6.6658024787902832</v>
      </c>
      <c r="I84" s="2">
        <f t="shared" si="19"/>
        <v>5.9954051292113928E+19</v>
      </c>
    </row>
    <row r="85" spans="1:9">
      <c r="A85">
        <v>83</v>
      </c>
      <c r="B85" s="2">
        <f t="shared" si="15"/>
        <v>9.1638767116819508E-6</v>
      </c>
      <c r="C85" s="2">
        <f t="shared" si="17"/>
        <v>109124.1171875</v>
      </c>
      <c r="D85" s="2">
        <f t="shared" si="20"/>
        <v>0.15000137686729431</v>
      </c>
      <c r="E85" s="2">
        <f t="shared" si="21"/>
        <v>6.6666054725646973</v>
      </c>
      <c r="F85" s="2">
        <f t="shared" si="14"/>
        <v>1.3745941487286473E-6</v>
      </c>
      <c r="G85" s="2">
        <f t="shared" si="18"/>
        <v>727487.4375</v>
      </c>
      <c r="H85" s="2">
        <f t="shared" si="16"/>
        <v>6.6659059524536133</v>
      </c>
      <c r="I85" s="2">
        <f t="shared" si="19"/>
        <v>1.0426791911502119E+20</v>
      </c>
    </row>
    <row r="86" spans="1:9">
      <c r="A86">
        <v>84</v>
      </c>
      <c r="B86" s="2">
        <f t="shared" si="15"/>
        <v>7.96858876128681E-6</v>
      </c>
      <c r="C86" s="2">
        <f t="shared" si="17"/>
        <v>125492.734375</v>
      </c>
      <c r="D86" s="2">
        <f t="shared" si="20"/>
        <v>0.15000119805335999</v>
      </c>
      <c r="E86" s="2">
        <f t="shared" si="21"/>
        <v>6.6666135787963867</v>
      </c>
      <c r="F86" s="2">
        <f t="shared" si="14"/>
        <v>1.1952978411500226E-6</v>
      </c>
      <c r="G86" s="2">
        <f t="shared" si="18"/>
        <v>836611.5625</v>
      </c>
      <c r="H86" s="2">
        <f t="shared" si="16"/>
        <v>6.6659975051879883</v>
      </c>
      <c r="I86" s="2">
        <f t="shared" si="19"/>
        <v>1.8133552144779418E+20</v>
      </c>
    </row>
    <row r="87" spans="1:9">
      <c r="A87">
        <v>85</v>
      </c>
      <c r="B87" s="2">
        <f t="shared" si="15"/>
        <v>6.9292077569116373E-6</v>
      </c>
      <c r="C87" s="2">
        <f t="shared" si="17"/>
        <v>144316.640625</v>
      </c>
      <c r="D87" s="2">
        <f t="shared" si="20"/>
        <v>0.15000103414058685</v>
      </c>
      <c r="E87" s="2">
        <f t="shared" si="21"/>
        <v>6.6666202545166016</v>
      </c>
      <c r="F87" s="2">
        <f t="shared" si="14"/>
        <v>1.039388280332787E-6</v>
      </c>
      <c r="G87" s="2">
        <f t="shared" si="18"/>
        <v>962104.3125</v>
      </c>
      <c r="H87" s="2">
        <f t="shared" si="16"/>
        <v>6.6660776138305664</v>
      </c>
      <c r="I87" s="2">
        <f t="shared" si="19"/>
        <v>3.1536611201899089E+20</v>
      </c>
    </row>
    <row r="88" spans="1:9">
      <c r="A88">
        <v>86</v>
      </c>
      <c r="B88" s="2">
        <f t="shared" si="15"/>
        <v>6.0253978517721407E-6</v>
      </c>
      <c r="C88" s="2">
        <f t="shared" si="17"/>
        <v>165964.140625</v>
      </c>
      <c r="D88" s="2">
        <f t="shared" si="20"/>
        <v>0.15000090003013611</v>
      </c>
      <c r="E88" s="2">
        <f t="shared" si="21"/>
        <v>6.6666264533996582</v>
      </c>
      <c r="F88" s="2">
        <f t="shared" si="14"/>
        <v>9.0381513473403174E-7</v>
      </c>
      <c r="G88" s="2">
        <f t="shared" si="18"/>
        <v>1106421</v>
      </c>
      <c r="H88" s="2">
        <f t="shared" si="16"/>
        <v>6.6661486625671387</v>
      </c>
      <c r="I88" s="2">
        <f t="shared" si="19"/>
        <v>5.4846282339810751E+20</v>
      </c>
    </row>
    <row r="89" spans="1:9">
      <c r="A89">
        <v>87</v>
      </c>
      <c r="B89" s="2">
        <f t="shared" si="15"/>
        <v>5.2394761951291002E-6</v>
      </c>
      <c r="C89" s="2">
        <f t="shared" si="17"/>
        <v>190858.765625</v>
      </c>
      <c r="D89" s="2">
        <f t="shared" si="20"/>
        <v>0.15000078082084656</v>
      </c>
      <c r="E89" s="2">
        <f t="shared" si="21"/>
        <v>6.6666316986083984</v>
      </c>
      <c r="F89" s="2">
        <f t="shared" ref="F89:F102" si="22">AF($E$1,$B$1,A89)</f>
        <v>7.8592557883894187E-7</v>
      </c>
      <c r="G89" s="2">
        <f t="shared" si="18"/>
        <v>1272385.125</v>
      </c>
      <c r="H89" s="2">
        <f t="shared" si="16"/>
        <v>6.6662106513977051</v>
      </c>
      <c r="I89" s="2">
        <f t="shared" si="19"/>
        <v>9.538483976969797E+20</v>
      </c>
    </row>
    <row r="90" spans="1:9">
      <c r="A90">
        <v>88</v>
      </c>
      <c r="B90" s="2">
        <f t="shared" si="15"/>
        <v>4.5560664148069918E-6</v>
      </c>
      <c r="C90" s="2">
        <f t="shared" si="17"/>
        <v>219487.578125</v>
      </c>
      <c r="D90" s="2">
        <f t="shared" si="20"/>
        <v>0.1500006765127182</v>
      </c>
      <c r="E90" s="2">
        <f t="shared" si="21"/>
        <v>6.6666364669799805</v>
      </c>
      <c r="F90" s="2">
        <f t="shared" si="22"/>
        <v>6.8341307724040234E-7</v>
      </c>
      <c r="G90" s="2">
        <f t="shared" si="18"/>
        <v>1463243.875</v>
      </c>
      <c r="H90" s="2">
        <f t="shared" si="16"/>
        <v>6.6662659645080566</v>
      </c>
      <c r="I90" s="2">
        <f t="shared" si="19"/>
        <v>1.6588668642697402E+21</v>
      </c>
    </row>
    <row r="91" spans="1:9">
      <c r="A91">
        <v>89</v>
      </c>
      <c r="B91" s="2">
        <f t="shared" si="15"/>
        <v>3.9617971197003499E-6</v>
      </c>
      <c r="C91" s="2">
        <f t="shared" si="17"/>
        <v>252410.71875</v>
      </c>
      <c r="D91" s="2">
        <f t="shared" si="20"/>
        <v>0.15000058710575104</v>
      </c>
      <c r="E91" s="2">
        <f t="shared" si="21"/>
        <v>6.6666402816772461</v>
      </c>
      <c r="F91" s="2">
        <f t="shared" si="22"/>
        <v>5.9427190990390955E-7</v>
      </c>
      <c r="G91" s="2">
        <f t="shared" si="18"/>
        <v>1682731.5</v>
      </c>
      <c r="H91" s="2">
        <f t="shared" si="16"/>
        <v>6.6663141250610352</v>
      </c>
      <c r="I91" s="2">
        <f t="shared" si="19"/>
        <v>2.8849859365701933E+21</v>
      </c>
    </row>
    <row r="92" spans="1:9">
      <c r="A92">
        <v>90</v>
      </c>
      <c r="B92" s="2">
        <f t="shared" si="15"/>
        <v>3.4450408747943584E-6</v>
      </c>
      <c r="C92" s="2">
        <f t="shared" si="17"/>
        <v>290272.3125</v>
      </c>
      <c r="D92" s="2">
        <f t="shared" si="20"/>
        <v>0.15000051259994507</v>
      </c>
      <c r="E92" s="2">
        <f t="shared" si="21"/>
        <v>6.6666436195373535</v>
      </c>
      <c r="F92" s="2">
        <f t="shared" si="22"/>
        <v>5.1675789336513844E-7</v>
      </c>
      <c r="G92" s="2">
        <f t="shared" si="18"/>
        <v>1935142.125</v>
      </c>
      <c r="H92" s="2">
        <f t="shared" si="16"/>
        <v>6.6663565635681152</v>
      </c>
      <c r="I92" s="2">
        <f t="shared" si="19"/>
        <v>5.0173668951612017E+21</v>
      </c>
    </row>
    <row r="93" spans="1:9">
      <c r="A93">
        <v>91</v>
      </c>
      <c r="B93" s="2">
        <f t="shared" si="15"/>
        <v>2.9956877369841095E-6</v>
      </c>
      <c r="C93" s="2">
        <f t="shared" si="17"/>
        <v>333813.1875</v>
      </c>
      <c r="D93" s="2">
        <f t="shared" si="20"/>
        <v>0.15000045299530029</v>
      </c>
      <c r="E93" s="2">
        <f t="shared" si="21"/>
        <v>6.6666464805603027</v>
      </c>
      <c r="F93" s="2">
        <f t="shared" si="22"/>
        <v>4.4935450205230154E-7</v>
      </c>
      <c r="G93" s="2">
        <f t="shared" si="18"/>
        <v>2225414.5</v>
      </c>
      <c r="H93" s="2">
        <f t="shared" si="16"/>
        <v>6.6663942337036133</v>
      </c>
      <c r="I93" s="2">
        <f t="shared" si="19"/>
        <v>8.7258554453694832E+21</v>
      </c>
    </row>
    <row r="94" spans="1:9">
      <c r="A94">
        <v>92</v>
      </c>
      <c r="B94" s="2">
        <f t="shared" si="15"/>
        <v>2.6049458483612398E-6</v>
      </c>
      <c r="C94" s="2">
        <f t="shared" si="17"/>
        <v>383885.15625</v>
      </c>
      <c r="D94" s="2">
        <f t="shared" si="20"/>
        <v>0.15000039339065552</v>
      </c>
      <c r="E94" s="2">
        <f t="shared" si="21"/>
        <v>6.666649341583252</v>
      </c>
      <c r="F94" s="2">
        <f t="shared" si="22"/>
        <v>3.907428833826998E-7</v>
      </c>
      <c r="G94" s="2">
        <f t="shared" si="18"/>
        <v>2559227.75</v>
      </c>
      <c r="H94" s="2">
        <f t="shared" si="16"/>
        <v>6.6664271354675293</v>
      </c>
      <c r="I94" s="2">
        <f t="shared" si="19"/>
        <v>1.5175401361981661E+22</v>
      </c>
    </row>
    <row r="95" spans="1:9">
      <c r="A95">
        <v>93</v>
      </c>
      <c r="B95" s="2">
        <f t="shared" si="15"/>
        <v>2.2651702238363214E-6</v>
      </c>
      <c r="C95" s="2">
        <f t="shared" si="17"/>
        <v>441467.9375</v>
      </c>
      <c r="D95" s="2">
        <f t="shared" si="20"/>
        <v>0.15000033378601074</v>
      </c>
      <c r="E95" s="2">
        <f t="shared" si="21"/>
        <v>6.666651725769043</v>
      </c>
      <c r="F95" s="2">
        <f t="shared" si="22"/>
        <v>3.3977630664594471E-7</v>
      </c>
      <c r="G95" s="2">
        <f t="shared" si="18"/>
        <v>2943112.75</v>
      </c>
      <c r="H95" s="2">
        <f t="shared" si="16"/>
        <v>6.6664562225341797</v>
      </c>
      <c r="I95" s="2">
        <f t="shared" si="19"/>
        <v>2.6392003543515835E+22</v>
      </c>
    </row>
    <row r="96" spans="1:9">
      <c r="A96">
        <v>94</v>
      </c>
      <c r="B96" s="2">
        <f t="shared" si="15"/>
        <v>1.9697131392604206E-6</v>
      </c>
      <c r="C96" s="2">
        <f t="shared" si="17"/>
        <v>507688.125</v>
      </c>
      <c r="D96" s="2">
        <f t="shared" si="20"/>
        <v>0.15000028908252716</v>
      </c>
      <c r="E96" s="2">
        <f t="shared" si="21"/>
        <v>6.6666536331176758</v>
      </c>
      <c r="F96" s="2">
        <f t="shared" si="22"/>
        <v>2.9545756774496112E-7</v>
      </c>
      <c r="G96" s="2">
        <f t="shared" si="18"/>
        <v>3384580.75</v>
      </c>
      <c r="H96" s="2">
        <f t="shared" si="16"/>
        <v>6.6664814949035645</v>
      </c>
      <c r="I96" s="2">
        <f t="shared" si="19"/>
        <v>4.5899133660288652E+22</v>
      </c>
    </row>
    <row r="97" spans="1:9">
      <c r="A97">
        <v>95</v>
      </c>
      <c r="B97" s="2">
        <f t="shared" si="15"/>
        <v>1.7127941873695818E-6</v>
      </c>
      <c r="C97" s="2">
        <f t="shared" si="17"/>
        <v>583841.3125</v>
      </c>
      <c r="D97" s="2">
        <f t="shared" si="20"/>
        <v>0.15000025928020477</v>
      </c>
      <c r="E97" s="2">
        <f t="shared" si="21"/>
        <v>6.6666550636291504</v>
      </c>
      <c r="F97" s="2">
        <f t="shared" si="22"/>
        <v>2.5691954874673684E-7</v>
      </c>
      <c r="G97" s="2">
        <f t="shared" si="18"/>
        <v>3892268.75</v>
      </c>
      <c r="H97" s="2">
        <f t="shared" si="16"/>
        <v>6.66650390625</v>
      </c>
      <c r="I97" s="2">
        <f t="shared" si="19"/>
        <v>7.9824583020084386E+22</v>
      </c>
    </row>
    <row r="98" spans="1:9">
      <c r="A98">
        <v>96</v>
      </c>
      <c r="B98" s="2">
        <f t="shared" si="15"/>
        <v>1.4893862498865929E-6</v>
      </c>
      <c r="C98" s="2">
        <f t="shared" si="17"/>
        <v>671417.5</v>
      </c>
      <c r="D98" s="2">
        <f t="shared" si="20"/>
        <v>0.15000022947788239</v>
      </c>
      <c r="E98" s="2">
        <f t="shared" si="21"/>
        <v>6.6666569709777832</v>
      </c>
      <c r="F98" s="2">
        <f t="shared" si="22"/>
        <v>2.2340826433264738E-7</v>
      </c>
      <c r="G98" s="2">
        <f t="shared" si="18"/>
        <v>4476110</v>
      </c>
      <c r="H98" s="2">
        <f t="shared" si="16"/>
        <v>6.6665234565734863</v>
      </c>
      <c r="I98" s="2">
        <f t="shared" si="19"/>
        <v>1.3882536803993754E+23</v>
      </c>
    </row>
    <row r="99" spans="1:9">
      <c r="A99">
        <v>97</v>
      </c>
      <c r="B99" s="2">
        <f t="shared" si="15"/>
        <v>1.2951184089615708E-6</v>
      </c>
      <c r="C99" s="2">
        <f t="shared" si="17"/>
        <v>772130.125</v>
      </c>
      <c r="D99" s="2">
        <f t="shared" si="20"/>
        <v>0.15000019967556</v>
      </c>
      <c r="E99" s="2">
        <f t="shared" si="21"/>
        <v>6.6666579246520996</v>
      </c>
      <c r="F99" s="2">
        <f t="shared" si="22"/>
        <v>1.9426801145527861E-7</v>
      </c>
      <c r="G99" s="2">
        <f t="shared" si="18"/>
        <v>5147527.5</v>
      </c>
      <c r="H99" s="2">
        <f t="shared" si="16"/>
        <v>6.6665410995483398</v>
      </c>
      <c r="I99" s="2">
        <f t="shared" si="19"/>
        <v>2.4143543599314245E+23</v>
      </c>
    </row>
    <row r="100" spans="1:9">
      <c r="A100">
        <v>98</v>
      </c>
      <c r="B100" s="2">
        <f t="shared" si="15"/>
        <v>1.1261899999226443E-6</v>
      </c>
      <c r="C100" s="2">
        <f t="shared" si="17"/>
        <v>887949.6875</v>
      </c>
      <c r="D100" s="2">
        <f>AP($E$1,$B$1,A100)</f>
        <v>0.15000016987323761</v>
      </c>
      <c r="E100" s="2">
        <f>PA($E$1,$B$1,A100)</f>
        <v>6.6666593551635742</v>
      </c>
      <c r="F100" s="2">
        <f t="shared" si="22"/>
        <v>1.6892867904516606E-7</v>
      </c>
      <c r="G100" s="2">
        <f t="shared" si="18"/>
        <v>5919658</v>
      </c>
      <c r="H100" s="2">
        <f t="shared" si="16"/>
        <v>6.6665563583374023</v>
      </c>
      <c r="I100" s="2">
        <f t="shared" si="19"/>
        <v>4.1988770693833535E+23</v>
      </c>
    </row>
    <row r="101" spans="1:9">
      <c r="A101">
        <v>99</v>
      </c>
      <c r="B101" s="2">
        <f t="shared" si="15"/>
        <v>9.7929557796305744E-7</v>
      </c>
      <c r="C101" s="2">
        <f t="shared" si="17"/>
        <v>1021142.125</v>
      </c>
      <c r="D101" s="2">
        <f t="shared" ref="D101:D102" si="23">AP($E$1,$B$1,A101)</f>
        <v>0.15000014007091522</v>
      </c>
      <c r="E101" s="2">
        <f t="shared" ref="E101:E102" si="24">PA($E$1,$B$1,A101)</f>
        <v>6.6666603088378906</v>
      </c>
      <c r="F101" s="2">
        <f t="shared" si="22"/>
        <v>1.4689447880300577E-7</v>
      </c>
      <c r="G101" s="2">
        <f t="shared" si="18"/>
        <v>6807607.5</v>
      </c>
      <c r="H101" s="2">
        <f t="shared" si="16"/>
        <v>6.666569709777832</v>
      </c>
      <c r="I101" s="2">
        <f t="shared" si="19"/>
        <v>7.3023951225811184E+23</v>
      </c>
    </row>
    <row r="102" spans="1:9">
      <c r="A102">
        <v>100</v>
      </c>
      <c r="B102" s="2">
        <f t="shared" si="15"/>
        <v>8.5156136719888309E-7</v>
      </c>
      <c r="C102" s="2">
        <f t="shared" si="17"/>
        <v>1174313.5</v>
      </c>
      <c r="D102" s="2">
        <f t="shared" si="23"/>
        <v>0.15000012516975403</v>
      </c>
      <c r="E102" s="2">
        <f t="shared" si="24"/>
        <v>6.6666607856750488</v>
      </c>
      <c r="F102" s="2">
        <f t="shared" si="22"/>
        <v>1.2773432445101207E-7</v>
      </c>
      <c r="G102" s="2">
        <f t="shared" si="18"/>
        <v>7828749.5</v>
      </c>
      <c r="H102" s="2">
        <f t="shared" si="16"/>
        <v>6.6665816307067871</v>
      </c>
      <c r="I102" s="2">
        <f t="shared" si="19"/>
        <v>1.2699818043100343E+24</v>
      </c>
    </row>
  </sheetData>
  <pageMargins left="0.7" right="0.7" top="0.75" bottom="0.75" header="0.3" footer="0.3"/>
  <pageSetup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Kleynhans</dc:creator>
  <cp:lastModifiedBy>mhyee</cp:lastModifiedBy>
  <dcterms:created xsi:type="dcterms:W3CDTF">2010-02-24T00:47:42Z</dcterms:created>
  <dcterms:modified xsi:type="dcterms:W3CDTF">2010-02-25T19:12:22Z</dcterms:modified>
</cp:coreProperties>
</file>